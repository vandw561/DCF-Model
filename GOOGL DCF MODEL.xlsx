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lliot/Documents/"/>
    </mc:Choice>
  </mc:AlternateContent>
  <xr:revisionPtr revIDLastSave="0" documentId="13_ncr:1_{74A93AF7-DEB7-0846-A8F6-F2396565D557}" xr6:coauthVersionLast="47" xr6:coauthVersionMax="47" xr10:uidLastSave="{00000000-0000-0000-0000-000000000000}"/>
  <bookViews>
    <workbookView xWindow="0" yWindow="600" windowWidth="38400" windowHeight="21000" xr2:uid="{56CB6079-5FF4-8045-ADED-59405144AC54}"/>
  </bookViews>
  <sheets>
    <sheet name="DCF" sheetId="1" r:id="rId1"/>
    <sheet name="WACC" sheetId="2" r:id="rId2"/>
  </sheets>
  <definedNames>
    <definedName name="beta">WACC!$E$7</definedName>
    <definedName name="MRP">WACC!$E$9</definedName>
    <definedName name="Rf">WACC!$E$8</definedName>
    <definedName name="scenario">DCF!$C$17</definedName>
    <definedName name="tax_rate">WACC!$E$17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19" i="1" l="1"/>
  <c r="D33" i="2"/>
  <c r="E7" i="2" s="1"/>
  <c r="O89" i="1"/>
  <c r="O90" i="1"/>
  <c r="E17" i="2"/>
  <c r="J63" i="1"/>
  <c r="D32" i="2"/>
  <c r="H29" i="2"/>
  <c r="H30" i="2"/>
  <c r="H28" i="2"/>
  <c r="H27" i="2"/>
  <c r="H26" i="2"/>
  <c r="F30" i="2"/>
  <c r="F29" i="2"/>
  <c r="F28" i="2"/>
  <c r="F27" i="2"/>
  <c r="F26" i="2"/>
  <c r="F57" i="1" l="1"/>
  <c r="O69" i="1"/>
  <c r="L63" i="1" l="1"/>
  <c r="M63" i="1"/>
  <c r="N63" i="1"/>
  <c r="O63" i="1"/>
  <c r="K63" i="1"/>
  <c r="N23" i="1" l="1"/>
  <c r="V23" i="1"/>
  <c r="C20" i="1" s="1"/>
  <c r="E14" i="2"/>
  <c r="E13" i="2"/>
  <c r="E6" i="2"/>
  <c r="K38" i="1"/>
  <c r="K40" i="1" s="1"/>
  <c r="O43" i="1"/>
  <c r="O73" i="1"/>
  <c r="K39" i="1" l="1"/>
  <c r="L39" i="1" s="1"/>
  <c r="M39" i="1" s="1"/>
  <c r="N39" i="1" s="1"/>
  <c r="G76" i="1" l="1"/>
  <c r="H76" i="1"/>
  <c r="F76" i="1"/>
  <c r="G69" i="1"/>
  <c r="H69" i="1"/>
  <c r="I69" i="1"/>
  <c r="J69" i="1"/>
  <c r="G73" i="1"/>
  <c r="H73" i="1"/>
  <c r="I73" i="1"/>
  <c r="J73" i="1"/>
  <c r="F73" i="1"/>
  <c r="J75" i="1"/>
  <c r="J76" i="1" s="1"/>
  <c r="I75" i="1"/>
  <c r="I76" i="1" s="1"/>
  <c r="J70" i="1"/>
  <c r="I70" i="1"/>
  <c r="H70" i="1"/>
  <c r="G70" i="1"/>
  <c r="F68" i="1"/>
  <c r="F69" i="1" s="1"/>
  <c r="E19" i="2"/>
  <c r="R22" i="1" s="1"/>
  <c r="O59" i="1"/>
  <c r="O60" i="1" s="1"/>
  <c r="K76" i="1" l="1"/>
  <c r="L76" i="1" s="1"/>
  <c r="M76" i="1" s="1"/>
  <c r="O58" i="1"/>
  <c r="O57" i="1"/>
  <c r="N22" i="1"/>
  <c r="V22" i="1"/>
  <c r="F70" i="1"/>
  <c r="O53" i="1"/>
  <c r="F63" i="1"/>
  <c r="G63" i="1"/>
  <c r="H63" i="1"/>
  <c r="I63" i="1"/>
  <c r="J57" i="1"/>
  <c r="I57" i="1"/>
  <c r="H57" i="1"/>
  <c r="G57" i="1"/>
  <c r="J51" i="1"/>
  <c r="I51" i="1"/>
  <c r="H51" i="1"/>
  <c r="G51" i="1"/>
  <c r="K43" i="1"/>
  <c r="L43" i="1" s="1"/>
  <c r="M43" i="1" s="1"/>
  <c r="N43" i="1" s="1"/>
  <c r="G46" i="1"/>
  <c r="H46" i="1"/>
  <c r="F46" i="1"/>
  <c r="I45" i="1"/>
  <c r="I46" i="1" s="1"/>
  <c r="J45" i="1"/>
  <c r="J46" i="1" s="1"/>
  <c r="G40" i="1"/>
  <c r="H40" i="1"/>
  <c r="I40" i="1"/>
  <c r="J40" i="1"/>
  <c r="G43" i="1"/>
  <c r="H43" i="1"/>
  <c r="I43" i="1"/>
  <c r="J43" i="1"/>
  <c r="F43" i="1"/>
  <c r="G39" i="1"/>
  <c r="H39" i="1"/>
  <c r="I39" i="1"/>
  <c r="J39" i="1"/>
  <c r="F38" i="1"/>
  <c r="F40" i="1" s="1"/>
  <c r="K33" i="1"/>
  <c r="K31" i="1"/>
  <c r="K28" i="1"/>
  <c r="L28" i="1" s="1"/>
  <c r="L53" i="1" s="1"/>
  <c r="G34" i="1"/>
  <c r="H34" i="1"/>
  <c r="I34" i="1"/>
  <c r="J34" i="1"/>
  <c r="F34" i="1"/>
  <c r="G31" i="1"/>
  <c r="H31" i="1"/>
  <c r="I31" i="1"/>
  <c r="J31" i="1"/>
  <c r="F31" i="1"/>
  <c r="G28" i="1"/>
  <c r="H28" i="1"/>
  <c r="I28" i="1"/>
  <c r="J28" i="1"/>
  <c r="C7" i="1"/>
  <c r="K80" i="1" s="1"/>
  <c r="K81" i="1" l="1"/>
  <c r="L81" i="1"/>
  <c r="N76" i="1"/>
  <c r="O76" i="1" s="1"/>
  <c r="K53" i="1"/>
  <c r="L31" i="1"/>
  <c r="K59" i="1"/>
  <c r="O52" i="1"/>
  <c r="O54" i="1"/>
  <c r="O51" i="1" s="1"/>
  <c r="K46" i="1"/>
  <c r="K45" i="1" s="1"/>
  <c r="F39" i="1"/>
  <c r="M28" i="1"/>
  <c r="L27" i="1"/>
  <c r="L38" i="1" s="1"/>
  <c r="M81" i="1" l="1"/>
  <c r="K52" i="1"/>
  <c r="K54" i="1"/>
  <c r="K51" i="1" s="1"/>
  <c r="K50" i="1" s="1"/>
  <c r="K60" i="1"/>
  <c r="K58" i="1"/>
  <c r="L58" i="1" s="1"/>
  <c r="M58" i="1" s="1"/>
  <c r="N58" i="1" s="1"/>
  <c r="L54" i="1"/>
  <c r="M31" i="1"/>
  <c r="L59" i="1"/>
  <c r="N28" i="1"/>
  <c r="N53" i="1" s="1"/>
  <c r="M53" i="1"/>
  <c r="L52" i="1"/>
  <c r="M52" i="1" s="1"/>
  <c r="N52" i="1" s="1"/>
  <c r="L42" i="1"/>
  <c r="L46" i="1"/>
  <c r="L30" i="1"/>
  <c r="L33" i="1" s="1"/>
  <c r="M27" i="1"/>
  <c r="M38" i="1" s="1"/>
  <c r="N81" i="1" l="1"/>
  <c r="K69" i="1"/>
  <c r="L69" i="1" s="1"/>
  <c r="M69" i="1" s="1"/>
  <c r="N69" i="1" s="1"/>
  <c r="K75" i="1"/>
  <c r="K73" i="1"/>
  <c r="L73" i="1" s="1"/>
  <c r="M73" i="1" s="1"/>
  <c r="N73" i="1" s="1"/>
  <c r="M54" i="1"/>
  <c r="N54" i="1" s="1"/>
  <c r="N51" i="1" s="1"/>
  <c r="L51" i="1"/>
  <c r="L50" i="1" s="1"/>
  <c r="M51" i="1"/>
  <c r="N31" i="1"/>
  <c r="N59" i="1" s="1"/>
  <c r="M59" i="1"/>
  <c r="K57" i="1"/>
  <c r="K56" i="1" s="1"/>
  <c r="K62" i="1" s="1"/>
  <c r="K65" i="1" s="1"/>
  <c r="K66" i="1" s="1"/>
  <c r="L60" i="1"/>
  <c r="M60" i="1" s="1"/>
  <c r="N60" i="1" s="1"/>
  <c r="L40" i="1"/>
  <c r="M42" i="1"/>
  <c r="M46" i="1"/>
  <c r="M45" i="1" s="1"/>
  <c r="L45" i="1"/>
  <c r="N27" i="1"/>
  <c r="N38" i="1" s="1"/>
  <c r="M30" i="1"/>
  <c r="M33" i="1" s="1"/>
  <c r="M57" i="1" l="1"/>
  <c r="O81" i="1"/>
  <c r="M50" i="1"/>
  <c r="L68" i="1"/>
  <c r="L75" i="1"/>
  <c r="M72" i="1"/>
  <c r="M56" i="1"/>
  <c r="M62" i="1" s="1"/>
  <c r="M65" i="1" s="1"/>
  <c r="M66" i="1" s="1"/>
  <c r="L72" i="1"/>
  <c r="L57" i="1"/>
  <c r="L56" i="1" s="1"/>
  <c r="L62" i="1" s="1"/>
  <c r="L65" i="1" s="1"/>
  <c r="N57" i="1"/>
  <c r="M40" i="1"/>
  <c r="N46" i="1"/>
  <c r="O46" i="1" s="1"/>
  <c r="N42" i="1"/>
  <c r="O27" i="1"/>
  <c r="N30" i="1"/>
  <c r="N33" i="1" s="1"/>
  <c r="L78" i="1" l="1"/>
  <c r="L83" i="1" s="1"/>
  <c r="N45" i="1"/>
  <c r="L66" i="1"/>
  <c r="M68" i="1"/>
  <c r="M75" i="1"/>
  <c r="N50" i="1"/>
  <c r="N40" i="1"/>
  <c r="O30" i="1"/>
  <c r="O33" i="1" s="1"/>
  <c r="O42" i="1"/>
  <c r="O45" i="1"/>
  <c r="O38" i="1"/>
  <c r="M78" i="1" l="1"/>
  <c r="M83" i="1" s="1"/>
  <c r="N56" i="1"/>
  <c r="N62" i="1" s="1"/>
  <c r="N65" i="1" s="1"/>
  <c r="N75" i="1"/>
  <c r="N72" i="1"/>
  <c r="N68" i="1"/>
  <c r="O50" i="1"/>
  <c r="O40" i="1"/>
  <c r="O56" i="1" l="1"/>
  <c r="O62" i="1" s="1"/>
  <c r="O65" i="1" s="1"/>
  <c r="O68" i="1"/>
  <c r="O72" i="1"/>
  <c r="O75" i="1"/>
  <c r="N66" i="1"/>
  <c r="N78" i="1"/>
  <c r="N83" i="1" s="1"/>
  <c r="L70" i="1"/>
  <c r="N70" i="1"/>
  <c r="M70" i="1"/>
  <c r="O70" i="1" l="1"/>
  <c r="O78" i="1"/>
  <c r="O83" i="1" s="1"/>
  <c r="O66" i="1"/>
  <c r="K70" i="1"/>
  <c r="K78" i="1"/>
  <c r="K83" i="1" s="1"/>
  <c r="O85" i="1" l="1"/>
  <c r="O86" i="1" s="1"/>
  <c r="O88" i="1" l="1"/>
  <c r="O91" i="1" s="1"/>
  <c r="O94" i="1" s="1"/>
  <c r="C10" i="1" s="1"/>
  <c r="C1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H25" authorId="0" shapeId="0" xr:uid="{0365D2C1-07BE-3F41-B97C-8B6E210462DC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=levB / (1+(1-taxR) * (D/E)</t>
        </r>
      </text>
    </comment>
  </commentList>
</comments>
</file>

<file path=xl/sharedStrings.xml><?xml version="1.0" encoding="utf-8"?>
<sst xmlns="http://schemas.openxmlformats.org/spreadsheetml/2006/main" count="118" uniqueCount="81">
  <si>
    <t>X</t>
  </si>
  <si>
    <t>General</t>
  </si>
  <si>
    <t>Assumptions</t>
  </si>
  <si>
    <t>Financials</t>
  </si>
  <si>
    <t>Cash Flow Items</t>
  </si>
  <si>
    <t>DCF Model</t>
  </si>
  <si>
    <t>Company Ticker</t>
  </si>
  <si>
    <t>Date</t>
  </si>
  <si>
    <t>End of fiscal year</t>
  </si>
  <si>
    <t>Share Price</t>
  </si>
  <si>
    <t>Intrinsic Value</t>
  </si>
  <si>
    <t>Delta</t>
  </si>
  <si>
    <t>Revenue</t>
  </si>
  <si>
    <t>EBIT</t>
  </si>
  <si>
    <t>% revenue</t>
  </si>
  <si>
    <t>Taxes</t>
  </si>
  <si>
    <t>tax rate</t>
  </si>
  <si>
    <t>% growth</t>
  </si>
  <si>
    <t>D&amp;A</t>
  </si>
  <si>
    <t>% CapEx</t>
  </si>
  <si>
    <t>CapEx</t>
  </si>
  <si>
    <t>Change in Working Capital</t>
  </si>
  <si>
    <t xml:space="preserve">     Bearish Case</t>
  </si>
  <si>
    <t xml:space="preserve">     Street Case</t>
  </si>
  <si>
    <t xml:space="preserve">     Bullish Case</t>
  </si>
  <si>
    <t>Triggers</t>
  </si>
  <si>
    <t>Scenario</t>
  </si>
  <si>
    <t>1 - Bearish Case</t>
  </si>
  <si>
    <t>2 - Street Case</t>
  </si>
  <si>
    <t xml:space="preserve">3 - Bullish Case </t>
  </si>
  <si>
    <t>Rev g FY2026 (Street Case)</t>
  </si>
  <si>
    <t>Rev g FY2030 (Street Case)</t>
  </si>
  <si>
    <t>EBIT g FY2026</t>
  </si>
  <si>
    <t>EBIT g FY2030</t>
  </si>
  <si>
    <t>WACC</t>
  </si>
  <si>
    <t>TGR</t>
  </si>
  <si>
    <t>EBIAT (or NOPAT)</t>
  </si>
  <si>
    <t>Unlevered Free Cash Flow</t>
  </si>
  <si>
    <t>CapEx Target 2030</t>
  </si>
  <si>
    <t>D&amp;A Target 2030</t>
  </si>
  <si>
    <t>WACC Calculation</t>
  </si>
  <si>
    <t>Re</t>
  </si>
  <si>
    <t>Beta Equity</t>
  </si>
  <si>
    <t>Risk Free Rate</t>
  </si>
  <si>
    <t>MRP</t>
  </si>
  <si>
    <t>E</t>
  </si>
  <si>
    <t>D</t>
  </si>
  <si>
    <t>E/E+D</t>
  </si>
  <si>
    <t>D/D+E</t>
  </si>
  <si>
    <t>Rd</t>
  </si>
  <si>
    <t>1-t</t>
  </si>
  <si>
    <t>WACC = [Re*(E/E+D)] + [Rd*(1-t)*(D/D+E)</t>
  </si>
  <si>
    <t>Terminal Value</t>
  </si>
  <si>
    <t>Discounted TV</t>
  </si>
  <si>
    <t>Enterpriuse Value</t>
  </si>
  <si>
    <t>Plus: Cash</t>
  </si>
  <si>
    <t>Minus: Debt</t>
  </si>
  <si>
    <t>Equity Value</t>
  </si>
  <si>
    <t>Shares Outstanding</t>
  </si>
  <si>
    <t>Price Per Share</t>
  </si>
  <si>
    <t>Discounted UFCF</t>
  </si>
  <si>
    <t>GOOGL</t>
  </si>
  <si>
    <t>GOOGL DCF MODEL</t>
  </si>
  <si>
    <t>Beta</t>
  </si>
  <si>
    <t>Company Name</t>
  </si>
  <si>
    <t>Lev Beta</t>
  </si>
  <si>
    <t>Market Cap</t>
  </si>
  <si>
    <t>Net Debt</t>
  </si>
  <si>
    <t>Tax Rate</t>
  </si>
  <si>
    <t>UnLev Beta</t>
  </si>
  <si>
    <t>Microsoft</t>
  </si>
  <si>
    <t>Apple</t>
  </si>
  <si>
    <t>Oracle</t>
  </si>
  <si>
    <t>Amazon</t>
  </si>
  <si>
    <t>Meta</t>
  </si>
  <si>
    <t>stub</t>
  </si>
  <si>
    <t>Discount period</t>
  </si>
  <si>
    <t>=levB / (1+(1-taxR) * (D/E)</t>
  </si>
  <si>
    <t>Industry Average Ulbeta</t>
  </si>
  <si>
    <t>unlevB * (1+(1-taxR) * (D/E))</t>
  </si>
  <si>
    <t>GOOGL Lev Beta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</si>
</sst>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General&quot;A&quot;"/>
    <numFmt numFmtId="165" formatCode="General&quot;F&quot;"/>
    <numFmt numFmtId="166" formatCode="_([$$-409]* #,##0.00_);_([$$-409]* \(#,##0.00\);_([$$-409]* &quot;-&quot;??_);_(@_)"/>
    <numFmt numFmtId="167" formatCode="#,##0;\(#,##0\);&quot;--&quot;"/>
    <numFmt numFmtId="168" formatCode="0.0%"/>
    <numFmt numFmtId="169" formatCode="#,##0.00;\(#,##0.00\);&quot;--&quot;"/>
  </numFmts>
  <fonts count="13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FF0000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2"/>
      <color theme="1"/>
      <name val="Aptos Narrow"/>
      <scheme val="minor"/>
    </font>
    <font>
      <b/>
      <sz val="20"/>
      <color theme="1"/>
      <name val="Aptos Narrow (Body)"/>
    </font>
    <font>
      <i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2"/>
      <color rgb="FF00B050"/>
      <name val="Aptos Narrow"/>
      <family val="2"/>
      <scheme val="minor"/>
    </font>
    <font>
      <sz val="12"/>
      <color theme="5" tint="-0.249977111117893"/>
      <name val="Aptos Narrow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9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rgb="FFFFFFCC"/>
      </patternFill>
    </fill>
    <fill>
      <patternFill patternType="solid">
        <fgColor rgb="FF00206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8" tint="0.59999389629810485"/>
        <bgColor indexed="64"/>
      </patternFill>
    </fill>
  </fills>
  <borders count="14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2" fillId="2" borderId="0" applyNumberFormat="0" applyBorder="0" applyAlignment="0" applyProtection="0"/>
    <xf numFmtId="0" fontId="1" fillId="3" borderId="1" applyNumberFormat="0" applyFont="0" applyAlignment="0" applyProtection="0"/>
  </cellStyleXfs>
  <cellXfs count="74">
    <xf numFmtId="0" fontId="0" fillId="0" borderId="0" xfId="0"/>
    <xf numFmtId="0" fontId="6" fillId="0" borderId="0" xfId="0" applyFont="1"/>
    <xf numFmtId="0" fontId="0" fillId="0" borderId="2" xfId="0" applyBorder="1"/>
    <xf numFmtId="164" fontId="0" fillId="0" borderId="0" xfId="0" applyNumberFormat="1"/>
    <xf numFmtId="165" fontId="0" fillId="0" borderId="0" xfId="0" applyNumberFormat="1"/>
    <xf numFmtId="164" fontId="0" fillId="0" borderId="2" xfId="0" applyNumberFormat="1" applyBorder="1"/>
    <xf numFmtId="0" fontId="4" fillId="4" borderId="0" xfId="0" applyFont="1" applyFill="1"/>
    <xf numFmtId="0" fontId="4" fillId="4" borderId="2" xfId="0" applyFont="1" applyFill="1" applyBorder="1"/>
    <xf numFmtId="14" fontId="0" fillId="0" borderId="0" xfId="0" applyNumberFormat="1"/>
    <xf numFmtId="0" fontId="5" fillId="0" borderId="0" xfId="0" applyFont="1"/>
    <xf numFmtId="166" fontId="0" fillId="0" borderId="0" xfId="0" applyNumberFormat="1"/>
    <xf numFmtId="0" fontId="7" fillId="0" borderId="0" xfId="0" applyFont="1"/>
    <xf numFmtId="167" fontId="0" fillId="0" borderId="2" xfId="0" applyNumberFormat="1" applyBorder="1"/>
    <xf numFmtId="167" fontId="0" fillId="0" borderId="0" xfId="0" applyNumberFormat="1"/>
    <xf numFmtId="9" fontId="0" fillId="0" borderId="2" xfId="1" applyFont="1" applyBorder="1"/>
    <xf numFmtId="9" fontId="0" fillId="0" borderId="0" xfId="1" applyFont="1" applyBorder="1"/>
    <xf numFmtId="9" fontId="0" fillId="0" borderId="0" xfId="1" applyFont="1"/>
    <xf numFmtId="9" fontId="0" fillId="0" borderId="0" xfId="0" applyNumberFormat="1"/>
    <xf numFmtId="9" fontId="0" fillId="0" borderId="0" xfId="1" applyFont="1" applyFill="1" applyBorder="1"/>
    <xf numFmtId="168" fontId="0" fillId="0" borderId="0" xfId="1" applyNumberFormat="1" applyFont="1"/>
    <xf numFmtId="10" fontId="0" fillId="0" borderId="0" xfId="1" applyNumberFormat="1" applyFont="1"/>
    <xf numFmtId="9" fontId="0" fillId="3" borderId="1" xfId="3" applyNumberFormat="1" applyFont="1"/>
    <xf numFmtId="0" fontId="8" fillId="0" borderId="0" xfId="0" applyFont="1"/>
    <xf numFmtId="0" fontId="0" fillId="0" borderId="3" xfId="0" applyBorder="1"/>
    <xf numFmtId="9" fontId="3" fillId="3" borderId="1" xfId="3" applyNumberFormat="1" applyFont="1"/>
    <xf numFmtId="9" fontId="9" fillId="3" borderId="1" xfId="3" applyNumberFormat="1" applyFont="1"/>
    <xf numFmtId="9" fontId="10" fillId="3" borderId="1" xfId="3" applyNumberFormat="1" applyFont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8" xfId="0" applyBorder="1"/>
    <xf numFmtId="0" fontId="0" fillId="0" borderId="9" xfId="0" applyBorder="1"/>
    <xf numFmtId="0" fontId="7" fillId="0" borderId="7" xfId="0" applyFont="1" applyBorder="1"/>
    <xf numFmtId="167" fontId="0" fillId="0" borderId="5" xfId="0" applyNumberFormat="1" applyBorder="1"/>
    <xf numFmtId="9" fontId="0" fillId="0" borderId="8" xfId="0" applyNumberFormat="1" applyBorder="1"/>
    <xf numFmtId="167" fontId="0" fillId="0" borderId="6" xfId="0" applyNumberFormat="1" applyBorder="1"/>
    <xf numFmtId="9" fontId="0" fillId="0" borderId="9" xfId="0" applyNumberFormat="1" applyBorder="1"/>
    <xf numFmtId="0" fontId="0" fillId="5" borderId="11" xfId="0" applyFill="1" applyBorder="1"/>
    <xf numFmtId="0" fontId="0" fillId="5" borderId="12" xfId="0" applyFill="1" applyBorder="1"/>
    <xf numFmtId="0" fontId="0" fillId="5" borderId="10" xfId="0" applyFill="1" applyBorder="1"/>
    <xf numFmtId="167" fontId="0" fillId="5" borderId="12" xfId="0" applyNumberFormat="1" applyFill="1" applyBorder="1"/>
    <xf numFmtId="167" fontId="0" fillId="5" borderId="10" xfId="0" applyNumberFormat="1" applyFill="1" applyBorder="1"/>
    <xf numFmtId="9" fontId="0" fillId="0" borderId="3" xfId="0" applyNumberFormat="1" applyBorder="1"/>
    <xf numFmtId="0" fontId="6" fillId="0" borderId="8" xfId="0" applyFont="1" applyBorder="1"/>
    <xf numFmtId="10" fontId="0" fillId="3" borderId="1" xfId="3" applyNumberFormat="1" applyFont="1"/>
    <xf numFmtId="167" fontId="0" fillId="3" borderId="1" xfId="3" applyNumberFormat="1" applyFont="1"/>
    <xf numFmtId="10" fontId="0" fillId="0" borderId="0" xfId="0" applyNumberFormat="1"/>
    <xf numFmtId="9" fontId="0" fillId="3" borderId="1" xfId="1" applyFont="1" applyFill="1" applyBorder="1"/>
    <xf numFmtId="0" fontId="0" fillId="6" borderId="11" xfId="0" applyFill="1" applyBorder="1"/>
    <xf numFmtId="0" fontId="0" fillId="6" borderId="12" xfId="0" applyFill="1" applyBorder="1"/>
    <xf numFmtId="10" fontId="0" fillId="6" borderId="0" xfId="0" applyNumberFormat="1" applyFill="1"/>
    <xf numFmtId="0" fontId="0" fillId="6" borderId="0" xfId="0" applyFill="1"/>
    <xf numFmtId="0" fontId="0" fillId="5" borderId="0" xfId="0" applyFill="1"/>
    <xf numFmtId="0" fontId="0" fillId="5" borderId="2" xfId="0" applyFill="1" applyBorder="1"/>
    <xf numFmtId="0" fontId="5" fillId="0" borderId="2" xfId="0" applyFont="1" applyBorder="1"/>
    <xf numFmtId="167" fontId="5" fillId="0" borderId="0" xfId="0" applyNumberFormat="1" applyFont="1"/>
    <xf numFmtId="167" fontId="0" fillId="0" borderId="8" xfId="0" applyNumberFormat="1" applyBorder="1"/>
    <xf numFmtId="0" fontId="2" fillId="2" borderId="0" xfId="2"/>
    <xf numFmtId="2" fontId="0" fillId="0" borderId="0" xfId="0" applyNumberFormat="1"/>
    <xf numFmtId="169" fontId="0" fillId="0" borderId="0" xfId="0" applyNumberFormat="1"/>
    <xf numFmtId="166" fontId="0" fillId="5" borderId="0" xfId="0" applyNumberFormat="1" applyFill="1"/>
    <xf numFmtId="0" fontId="11" fillId="0" borderId="0" xfId="0" applyFont="1" applyAlignment="1">
      <alignment horizontal="left" vertical="center" readingOrder="1"/>
    </xf>
    <xf numFmtId="2" fontId="0" fillId="3" borderId="1" xfId="3" applyNumberFormat="1" applyFont="1"/>
    <xf numFmtId="0" fontId="0" fillId="8" borderId="0" xfId="0" applyFill="1"/>
    <xf numFmtId="0" fontId="0" fillId="7" borderId="4" xfId="0" applyFill="1" applyBorder="1"/>
    <xf numFmtId="0" fontId="0" fillId="7" borderId="5" xfId="0" applyFill="1" applyBorder="1"/>
    <xf numFmtId="0" fontId="0" fillId="7" borderId="6" xfId="0" applyFill="1" applyBorder="1"/>
    <xf numFmtId="0" fontId="0" fillId="0" borderId="13" xfId="0" applyBorder="1"/>
    <xf numFmtId="0" fontId="0" fillId="8" borderId="13" xfId="0" applyFill="1" applyBorder="1"/>
    <xf numFmtId="0" fontId="0" fillId="8" borderId="2" xfId="0" applyFill="1" applyBorder="1"/>
    <xf numFmtId="2" fontId="0" fillId="0" borderId="2" xfId="0" applyNumberFormat="1" applyBorder="1"/>
    <xf numFmtId="0" fontId="0" fillId="0" borderId="7" xfId="0" applyBorder="1"/>
    <xf numFmtId="10" fontId="0" fillId="0" borderId="8" xfId="0" applyNumberFormat="1" applyBorder="1"/>
    <xf numFmtId="2" fontId="0" fillId="0" borderId="9" xfId="0" applyNumberFormat="1" applyBorder="1"/>
  </cellXfs>
  <cellStyles count="4">
    <cellStyle name="Bad" xfId="2" builtinId="27"/>
    <cellStyle name="Normal" xfId="0" builtinId="0"/>
    <cellStyle name="Note" xfId="3" builtinId="1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649D996-6833-C548-BBDE-C83189B87AE7}">
  <we:reference id="93533c7f-4dc5-468f-aba4-1c008e1a7ac8" version="1.0.0.8" store="EXCatalog" storeType="EXCatalog"/>
  <we:alternateReferences>
    <we:reference id="WA200003101" version="1.0.0.8" store="en-US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6024ED-5C5F-A147-B5EC-503B3C9296A3}">
  <dimension ref="A1:V94"/>
  <sheetViews>
    <sheetView showGridLines="0" tabSelected="1" zoomScale="140" zoomScaleNormal="140" workbookViewId="0">
      <pane ySplit="1" topLeftCell="A2" activePane="bottomLeft" state="frozen"/>
      <selection activeCell="B1" sqref="B1"/>
      <selection pane="bottomLeft" activeCell="I18" sqref="I18"/>
    </sheetView>
  </sheetViews>
  <sheetFormatPr baseColWidth="10" defaultRowHeight="16" x14ac:dyDescent="0.2"/>
  <cols>
    <col min="1" max="1" width="2.83203125" customWidth="1"/>
    <col min="2" max="2" width="26.5" bestFit="1" customWidth="1"/>
    <col min="3" max="3" width="10.83203125" customWidth="1"/>
    <col min="4" max="4" width="10.83203125" style="2"/>
    <col min="6" max="9" width="10.83203125" customWidth="1"/>
    <col min="10" max="10" width="10.83203125" style="2" customWidth="1"/>
    <col min="14" max="14" width="10.83203125" customWidth="1"/>
    <col min="22" max="22" width="10.83203125" customWidth="1"/>
  </cols>
  <sheetData>
    <row r="1" spans="1:22" x14ac:dyDescent="0.2">
      <c r="F1" s="3">
        <v>2021</v>
      </c>
      <c r="G1" s="3">
        <v>2022</v>
      </c>
      <c r="H1" s="3">
        <v>2023</v>
      </c>
      <c r="I1" s="3">
        <v>2024</v>
      </c>
      <c r="J1" s="5">
        <v>2025</v>
      </c>
      <c r="K1" s="4">
        <v>2026</v>
      </c>
      <c r="L1" s="4">
        <v>2027</v>
      </c>
      <c r="M1" s="4">
        <v>2028</v>
      </c>
      <c r="N1" s="4">
        <v>2029</v>
      </c>
      <c r="O1" s="4">
        <v>2030</v>
      </c>
    </row>
    <row r="2" spans="1:22" ht="27" x14ac:dyDescent="0.35">
      <c r="B2" s="1" t="s">
        <v>62</v>
      </c>
    </row>
    <row r="4" spans="1:22" s="6" customFormat="1" x14ac:dyDescent="0.2">
      <c r="A4" s="6" t="s">
        <v>0</v>
      </c>
      <c r="B4" s="6" t="s">
        <v>1</v>
      </c>
      <c r="D4" s="7"/>
      <c r="J4" s="7"/>
    </row>
    <row r="6" spans="1:22" x14ac:dyDescent="0.2">
      <c r="B6" t="s">
        <v>6</v>
      </c>
      <c r="C6" s="57" t="s">
        <v>61</v>
      </c>
    </row>
    <row r="7" spans="1:22" x14ac:dyDescent="0.2">
      <c r="B7" t="s">
        <v>7</v>
      </c>
      <c r="C7" s="8">
        <f ca="1">TODAY()</f>
        <v>46260</v>
      </c>
    </row>
    <row r="8" spans="1:22" x14ac:dyDescent="0.2">
      <c r="B8" t="s">
        <v>8</v>
      </c>
      <c r="C8" s="8">
        <v>46387</v>
      </c>
    </row>
    <row r="9" spans="1:22" x14ac:dyDescent="0.2">
      <c r="B9" t="s">
        <v>9</v>
      </c>
      <c r="C9" s="10">
        <v>349.78</v>
      </c>
    </row>
    <row r="10" spans="1:22" x14ac:dyDescent="0.2">
      <c r="B10" s="9" t="s">
        <v>10</v>
      </c>
      <c r="C10" s="10">
        <f ca="1">O94</f>
        <v>192.24840829954391</v>
      </c>
    </row>
    <row r="11" spans="1:22" x14ac:dyDescent="0.2">
      <c r="B11" t="s">
        <v>11</v>
      </c>
      <c r="C11" s="16">
        <f ca="1">C10/C9-1</f>
        <v>-0.45037335382370658</v>
      </c>
    </row>
    <row r="13" spans="1:22" s="6" customFormat="1" x14ac:dyDescent="0.2">
      <c r="A13" s="6" t="s">
        <v>0</v>
      </c>
      <c r="B13" s="6" t="s">
        <v>2</v>
      </c>
      <c r="D13" s="7"/>
      <c r="J13" s="7"/>
    </row>
    <row r="15" spans="1:22" x14ac:dyDescent="0.2">
      <c r="B15" s="22" t="s">
        <v>25</v>
      </c>
      <c r="L15" s="9" t="s">
        <v>27</v>
      </c>
      <c r="M15" s="9"/>
      <c r="N15" s="9"/>
      <c r="O15" s="9"/>
      <c r="P15" s="9" t="s">
        <v>28</v>
      </c>
      <c r="Q15" s="9"/>
      <c r="R15" s="9"/>
      <c r="S15" s="9"/>
      <c r="T15" s="9" t="s">
        <v>29</v>
      </c>
      <c r="U15" s="9"/>
    </row>
    <row r="16" spans="1:22" x14ac:dyDescent="0.2">
      <c r="L16" t="s">
        <v>30</v>
      </c>
      <c r="N16" s="17">
        <v>0.8</v>
      </c>
      <c r="T16" t="s">
        <v>30</v>
      </c>
      <c r="V16" s="17">
        <v>1.1000000000000001</v>
      </c>
    </row>
    <row r="17" spans="1:22" x14ac:dyDescent="0.2">
      <c r="B17" t="s">
        <v>26</v>
      </c>
      <c r="C17" s="23">
        <v>2</v>
      </c>
      <c r="L17" t="s">
        <v>31</v>
      </c>
      <c r="N17" s="17">
        <v>0.9</v>
      </c>
      <c r="T17" t="s">
        <v>31</v>
      </c>
      <c r="V17" s="17">
        <v>1.2</v>
      </c>
    </row>
    <row r="18" spans="1:22" x14ac:dyDescent="0.2">
      <c r="L18" t="s">
        <v>32</v>
      </c>
      <c r="N18" s="17">
        <v>0.8</v>
      </c>
      <c r="T18" t="s">
        <v>32</v>
      </c>
      <c r="V18" s="17">
        <v>1.1000000000000001</v>
      </c>
    </row>
    <row r="19" spans="1:22" x14ac:dyDescent="0.2">
      <c r="B19" t="s">
        <v>34</v>
      </c>
      <c r="C19" s="20">
        <f>CHOOSE(scenario,N22,R22,V22)</f>
        <v>0.10312592649939441</v>
      </c>
      <c r="L19" t="s">
        <v>33</v>
      </c>
      <c r="N19" s="17">
        <v>0.9</v>
      </c>
      <c r="T19" t="s">
        <v>33</v>
      </c>
      <c r="V19" s="17">
        <v>1.25</v>
      </c>
    </row>
    <row r="20" spans="1:22" x14ac:dyDescent="0.2">
      <c r="B20" t="s">
        <v>35</v>
      </c>
      <c r="C20" s="19">
        <f>CHOOSE(scenario,N23,R23,V23)</f>
        <v>2.5000000000000001E-2</v>
      </c>
    </row>
    <row r="22" spans="1:22" x14ac:dyDescent="0.2">
      <c r="B22" t="s">
        <v>39</v>
      </c>
      <c r="C22" s="42">
        <v>0.15</v>
      </c>
      <c r="L22" s="51" t="s">
        <v>34</v>
      </c>
      <c r="M22" s="51"/>
      <c r="N22" s="50">
        <f>R22+0.5%</f>
        <v>0.10812592649939441</v>
      </c>
      <c r="O22" s="51"/>
      <c r="P22" s="51" t="s">
        <v>34</v>
      </c>
      <c r="Q22" s="51"/>
      <c r="R22" s="50">
        <f>WACC!E19</f>
        <v>0.10312592649939441</v>
      </c>
      <c r="S22" s="51"/>
      <c r="T22" s="51" t="s">
        <v>34</v>
      </c>
      <c r="U22" s="51"/>
      <c r="V22" s="50">
        <f>R22-0.5%</f>
        <v>9.8125926499394403E-2</v>
      </c>
    </row>
    <row r="23" spans="1:22" x14ac:dyDescent="0.2">
      <c r="B23" t="s">
        <v>38</v>
      </c>
      <c r="C23" s="42">
        <v>0.18</v>
      </c>
      <c r="L23" t="s">
        <v>35</v>
      </c>
      <c r="N23" s="46">
        <f>R23-0.5%</f>
        <v>0.02</v>
      </c>
      <c r="P23" t="s">
        <v>35</v>
      </c>
      <c r="R23" s="46">
        <v>2.5000000000000001E-2</v>
      </c>
      <c r="T23" t="s">
        <v>35</v>
      </c>
      <c r="V23" s="46">
        <f>R23+0.5%</f>
        <v>3.0000000000000002E-2</v>
      </c>
    </row>
    <row r="25" spans="1:22" s="6" customFormat="1" x14ac:dyDescent="0.2">
      <c r="A25" s="6" t="s">
        <v>0</v>
      </c>
      <c r="B25" s="6" t="s">
        <v>3</v>
      </c>
      <c r="D25" s="7"/>
      <c r="J25" s="7"/>
    </row>
    <row r="27" spans="1:22" x14ac:dyDescent="0.2">
      <c r="B27" t="s">
        <v>12</v>
      </c>
      <c r="F27" s="13">
        <v>257637</v>
      </c>
      <c r="G27" s="13">
        <v>282836</v>
      </c>
      <c r="H27" s="13">
        <v>307394</v>
      </c>
      <c r="I27" s="13">
        <v>350018</v>
      </c>
      <c r="J27" s="12">
        <v>402683</v>
      </c>
      <c r="K27" s="13">
        <v>497690</v>
      </c>
      <c r="L27" s="13">
        <f>K27+(K27*L28)</f>
        <v>604420.23000132863</v>
      </c>
      <c r="M27" s="13">
        <f t="shared" ref="M27:O27" si="0">L27+(L27*M28)</f>
        <v>721053.68052367494</v>
      </c>
      <c r="N27" s="13">
        <f t="shared" si="0"/>
        <v>844702.66352081823</v>
      </c>
      <c r="O27" s="13">
        <f t="shared" si="0"/>
        <v>971408.06304894097</v>
      </c>
    </row>
    <row r="28" spans="1:22" x14ac:dyDescent="0.2">
      <c r="B28" s="11" t="s">
        <v>17</v>
      </c>
      <c r="G28" s="15">
        <f t="shared" ref="G28:I28" si="1">G27/F27-1</f>
        <v>9.7808156437157789E-2</v>
      </c>
      <c r="H28" s="15">
        <f t="shared" si="1"/>
        <v>8.6827702272695095E-2</v>
      </c>
      <c r="I28" s="15">
        <f t="shared" si="1"/>
        <v>0.13866243322901561</v>
      </c>
      <c r="J28" s="14">
        <f>J27/I27-1</f>
        <v>0.1504636904387775</v>
      </c>
      <c r="K28" s="15">
        <f>K27/J27-1</f>
        <v>0.2359349662141188</v>
      </c>
      <c r="L28" s="15">
        <f>$K$28+($O$28-$K$28)/($O$1-$K$1)</f>
        <v>0.21445122466058911</v>
      </c>
      <c r="M28" s="15">
        <f>$L$28+($O$28-$K$28)/($O$1-$K$1)</f>
        <v>0.19296748310705941</v>
      </c>
      <c r="N28" s="15">
        <f>$M$28+($O$28-$K$28)/($O$1-$K$1)</f>
        <v>0.17148374155352972</v>
      </c>
      <c r="O28" s="17">
        <v>0.15</v>
      </c>
    </row>
    <row r="30" spans="1:22" x14ac:dyDescent="0.2">
      <c r="B30" t="s">
        <v>13</v>
      </c>
      <c r="F30" s="13">
        <v>78714</v>
      </c>
      <c r="G30" s="13">
        <v>74842</v>
      </c>
      <c r="H30" s="13">
        <v>84293</v>
      </c>
      <c r="I30" s="13">
        <v>112390</v>
      </c>
      <c r="J30" s="12">
        <v>129039</v>
      </c>
      <c r="K30" s="13">
        <v>165499</v>
      </c>
      <c r="L30" s="13">
        <f t="shared" ref="L30:N30" si="2">L27*L31</f>
        <v>197585.41524768012</v>
      </c>
      <c r="M30" s="13">
        <f t="shared" si="2"/>
        <v>231650.86400523849</v>
      </c>
      <c r="N30" s="13">
        <f t="shared" si="2"/>
        <v>266616.52329520916</v>
      </c>
      <c r="O30" s="13">
        <f>O27*O31</f>
        <v>301136.49954517168</v>
      </c>
    </row>
    <row r="31" spans="1:22" x14ac:dyDescent="0.2">
      <c r="B31" s="11" t="s">
        <v>14</v>
      </c>
      <c r="F31" s="16">
        <f>F30/F27</f>
        <v>0.3055228868524319</v>
      </c>
      <c r="G31" s="16">
        <f t="shared" ref="G31:J31" si="3">G30/G27</f>
        <v>0.26461270842467011</v>
      </c>
      <c r="H31" s="16">
        <f t="shared" si="3"/>
        <v>0.27421810445226646</v>
      </c>
      <c r="I31" s="16">
        <f t="shared" si="3"/>
        <v>0.32109777211457696</v>
      </c>
      <c r="J31" s="14">
        <f t="shared" si="3"/>
        <v>0.32044809440676664</v>
      </c>
      <c r="K31" s="18">
        <f>K30/K27</f>
        <v>0.33253430850529447</v>
      </c>
      <c r="L31" s="15">
        <f>$K$31+($O$31-$K$31)/($O$1-$K$1)</f>
        <v>0.32690073137897085</v>
      </c>
      <c r="M31" s="15">
        <f>$L$31+($O$31-$K$31)/($O$1-$K$1)</f>
        <v>0.32126715425264724</v>
      </c>
      <c r="N31" s="15">
        <f>$M$31+($O$31-$K$31)/($O$1-$K$1)</f>
        <v>0.31563357712632362</v>
      </c>
      <c r="O31" s="17">
        <v>0.31</v>
      </c>
    </row>
    <row r="33" spans="1:15" x14ac:dyDescent="0.2">
      <c r="B33" t="s">
        <v>15</v>
      </c>
      <c r="F33" s="13">
        <v>14701</v>
      </c>
      <c r="G33" s="13">
        <v>11356</v>
      </c>
      <c r="H33" s="13">
        <v>11922</v>
      </c>
      <c r="I33" s="13">
        <v>19697</v>
      </c>
      <c r="J33" s="12">
        <v>26656</v>
      </c>
      <c r="K33" s="13">
        <f>K30*K34</f>
        <v>34754.79</v>
      </c>
      <c r="L33" s="13">
        <f t="shared" ref="L33:O33" si="4">L30*L34</f>
        <v>41492.937202012821</v>
      </c>
      <c r="M33" s="13">
        <f t="shared" si="4"/>
        <v>48646.681441100081</v>
      </c>
      <c r="N33" s="13">
        <f t="shared" si="4"/>
        <v>55989.469891993918</v>
      </c>
      <c r="O33" s="13">
        <f t="shared" si="4"/>
        <v>63238.664904486053</v>
      </c>
    </row>
    <row r="34" spans="1:15" x14ac:dyDescent="0.2">
      <c r="B34" s="11" t="s">
        <v>16</v>
      </c>
      <c r="F34" s="16">
        <f>F33/F30</f>
        <v>0.18676474324770689</v>
      </c>
      <c r="G34" s="16">
        <f t="shared" ref="G34:J34" si="5">G33/G30</f>
        <v>0.15173298415328293</v>
      </c>
      <c r="H34" s="16">
        <f t="shared" si="5"/>
        <v>0.14143523186978751</v>
      </c>
      <c r="I34" s="16">
        <f t="shared" si="5"/>
        <v>0.17525580567666163</v>
      </c>
      <c r="J34" s="14">
        <f t="shared" si="5"/>
        <v>0.20657320654995776</v>
      </c>
      <c r="K34" s="17">
        <v>0.21</v>
      </c>
      <c r="L34" s="17">
        <v>0.21</v>
      </c>
      <c r="M34" s="17">
        <v>0.21</v>
      </c>
      <c r="N34" s="17">
        <v>0.21</v>
      </c>
      <c r="O34" s="17">
        <v>0.21</v>
      </c>
    </row>
    <row r="36" spans="1:15" s="6" customFormat="1" x14ac:dyDescent="0.2">
      <c r="A36" s="6" t="s">
        <v>0</v>
      </c>
      <c r="B36" s="6" t="s">
        <v>4</v>
      </c>
      <c r="D36" s="7"/>
      <c r="J36" s="7"/>
    </row>
    <row r="38" spans="1:15" x14ac:dyDescent="0.2">
      <c r="B38" t="s">
        <v>18</v>
      </c>
      <c r="F38" s="13">
        <f>(11555+886)</f>
        <v>12441</v>
      </c>
      <c r="G38" s="13">
        <v>13475</v>
      </c>
      <c r="H38" s="13">
        <v>11946</v>
      </c>
      <c r="I38" s="13">
        <v>15311</v>
      </c>
      <c r="J38" s="12">
        <v>21136</v>
      </c>
      <c r="K38" s="13">
        <f>K68</f>
        <v>30959</v>
      </c>
      <c r="L38" s="13">
        <f>L27*L39</f>
        <v>44820.202923236924</v>
      </c>
      <c r="M38" s="13">
        <f t="shared" ref="M38:N38" si="6">M27*M39</f>
        <v>62084.664734989165</v>
      </c>
      <c r="N38" s="13">
        <f t="shared" si="6"/>
        <v>82824.234162065797</v>
      </c>
      <c r="O38" s="13">
        <f t="shared" ref="O38" si="7">O27*O39</f>
        <v>106854.8869353835</v>
      </c>
    </row>
    <row r="39" spans="1:15" x14ac:dyDescent="0.2">
      <c r="B39" s="11" t="s">
        <v>14</v>
      </c>
      <c r="F39" s="16">
        <f>F38/F27</f>
        <v>4.8288871551834561E-2</v>
      </c>
      <c r="G39" s="16">
        <f t="shared" ref="G39:J39" si="8">G38/G27</f>
        <v>4.764245004172029E-2</v>
      </c>
      <c r="H39" s="16">
        <f t="shared" si="8"/>
        <v>3.8862176880485634E-2</v>
      </c>
      <c r="I39" s="16">
        <f t="shared" si="8"/>
        <v>4.3743464621819446E-2</v>
      </c>
      <c r="J39" s="14">
        <f t="shared" si="8"/>
        <v>5.2487937161489313E-2</v>
      </c>
      <c r="K39" s="17">
        <f>K38/K27</f>
        <v>6.2205388896702768E-2</v>
      </c>
      <c r="L39" s="16">
        <f>$K$39+($O$39-$K$39)/($O$1-$K$1)</f>
        <v>7.415404167252708E-2</v>
      </c>
      <c r="M39" s="16">
        <f>$L$39+($O$39-$K$39)/($O$1-$K$1)</f>
        <v>8.6102694448351391E-2</v>
      </c>
      <c r="N39" s="16">
        <f>$M$39+($O$39-$K$39)/($O$1-$K$1)</f>
        <v>9.8051347224175703E-2</v>
      </c>
      <c r="O39" s="17">
        <v>0.11</v>
      </c>
    </row>
    <row r="40" spans="1:15" x14ac:dyDescent="0.2">
      <c r="B40" s="11" t="s">
        <v>19</v>
      </c>
      <c r="F40" s="16">
        <f>F38/F42</f>
        <v>0.50491071428571432</v>
      </c>
      <c r="G40" s="16">
        <f t="shared" ref="G40:J40" si="9">G38/G42</f>
        <v>0.42798157852945845</v>
      </c>
      <c r="H40" s="16">
        <f t="shared" si="9"/>
        <v>0.37040711915909585</v>
      </c>
      <c r="I40" s="16">
        <f t="shared" si="9"/>
        <v>0.29144379937184733</v>
      </c>
      <c r="J40" s="14">
        <f t="shared" si="9"/>
        <v>0.23112841317921856</v>
      </c>
      <c r="K40" s="18">
        <f>K38/K42</f>
        <v>0.15876410256410256</v>
      </c>
      <c r="L40" s="18">
        <f t="shared" ref="L40:O40" si="10">L38/L42</f>
        <v>0.21883539519603334</v>
      </c>
      <c r="M40" s="18">
        <f t="shared" si="10"/>
        <v>0.3011583215090648</v>
      </c>
      <c r="N40" s="18">
        <f t="shared" si="10"/>
        <v>0.42090696634369273</v>
      </c>
      <c r="O40" s="18">
        <f t="shared" si="10"/>
        <v>0.61111111111111105</v>
      </c>
    </row>
    <row r="42" spans="1:15" x14ac:dyDescent="0.2">
      <c r="B42" t="s">
        <v>20</v>
      </c>
      <c r="F42" s="13">
        <v>24640</v>
      </c>
      <c r="G42" s="13">
        <v>31485</v>
      </c>
      <c r="H42" s="13">
        <v>32251</v>
      </c>
      <c r="I42" s="13">
        <v>52535</v>
      </c>
      <c r="J42" s="12">
        <v>91447</v>
      </c>
      <c r="K42" s="13">
        <v>195000</v>
      </c>
      <c r="L42" s="13">
        <f>L27*L43</f>
        <v>204812.40195667098</v>
      </c>
      <c r="M42" s="13">
        <f t="shared" ref="M42:O42" si="11">M27*M43</f>
        <v>206152.91127899458</v>
      </c>
      <c r="N42" s="13">
        <f t="shared" si="11"/>
        <v>196775.63163550835</v>
      </c>
      <c r="O42" s="13">
        <f t="shared" si="11"/>
        <v>174853.45134880938</v>
      </c>
    </row>
    <row r="43" spans="1:15" x14ac:dyDescent="0.2">
      <c r="B43" s="11" t="s">
        <v>14</v>
      </c>
      <c r="F43" s="16">
        <f>F42/F27</f>
        <v>9.5638437025737766E-2</v>
      </c>
      <c r="G43" s="16">
        <f t="shared" ref="G43:J43" si="12">G42/G27</f>
        <v>0.11131892686928113</v>
      </c>
      <c r="H43" s="16">
        <f t="shared" si="12"/>
        <v>0.10491746748472644</v>
      </c>
      <c r="I43" s="16">
        <f t="shared" si="12"/>
        <v>0.15009228096840735</v>
      </c>
      <c r="J43" s="14">
        <f t="shared" si="12"/>
        <v>0.22709426521606327</v>
      </c>
      <c r="K43" s="17">
        <f>K42/K27</f>
        <v>0.39181016295284216</v>
      </c>
      <c r="L43" s="15">
        <f>$K$43+($O$43-$K$43)/($O$1-$K$1)</f>
        <v>0.33885762221463162</v>
      </c>
      <c r="M43" s="15">
        <f>$L$43+($O$43-$K$43)/($O$1-$K$1)</f>
        <v>0.28590508147642107</v>
      </c>
      <c r="N43" s="15">
        <f>$M$43+($O$43-$K$43)/($O$1-$K$1)</f>
        <v>0.23295254073821053</v>
      </c>
      <c r="O43" s="17">
        <f>C23</f>
        <v>0.18</v>
      </c>
    </row>
    <row r="45" spans="1:15" x14ac:dyDescent="0.2">
      <c r="B45" t="s">
        <v>21</v>
      </c>
      <c r="F45" s="13">
        <v>-1523</v>
      </c>
      <c r="G45" s="13">
        <v>-2235</v>
      </c>
      <c r="H45" s="13">
        <v>-3845</v>
      </c>
      <c r="I45" s="13">
        <f>(-5891-2418-1397+359-1161+1059+1043)</f>
        <v>-8406</v>
      </c>
      <c r="J45" s="12">
        <f>(-8779-3226-4542+907+12939+899+2420)</f>
        <v>618</v>
      </c>
      <c r="K45" s="13">
        <f>K27*K46</f>
        <v>-4857.7632148270814</v>
      </c>
      <c r="L45" s="13">
        <f t="shared" ref="L45:O45" si="13">L27*L46</f>
        <v>-6364.8236566462974</v>
      </c>
      <c r="M45" s="13">
        <f t="shared" si="13"/>
        <v>-7972.0646934974147</v>
      </c>
      <c r="N45" s="13">
        <f t="shared" si="13"/>
        <v>-9093.8011581393366</v>
      </c>
      <c r="O45" s="13">
        <f t="shared" si="13"/>
        <v>-7883.5963116302264</v>
      </c>
    </row>
    <row r="46" spans="1:15" x14ac:dyDescent="0.2">
      <c r="B46" s="11" t="s">
        <v>14</v>
      </c>
      <c r="F46" s="16">
        <f>F45/F27</f>
        <v>-5.9114180028489701E-3</v>
      </c>
      <c r="G46" s="16">
        <f t="shared" ref="G46:J46" si="14">G45/G27</f>
        <v>-7.9021058139699327E-3</v>
      </c>
      <c r="H46" s="16">
        <f t="shared" si="14"/>
        <v>-1.25083768713768E-2</v>
      </c>
      <c r="I46" s="16">
        <f t="shared" si="14"/>
        <v>-2.4015907753315545E-2</v>
      </c>
      <c r="J46" s="14">
        <f t="shared" si="14"/>
        <v>1.5347059597748105E-3</v>
      </c>
      <c r="K46" s="17">
        <f>AVERAGE(F46:J46)</f>
        <v>-9.7606204963472873E-3</v>
      </c>
      <c r="L46" s="17">
        <f t="shared" ref="L46:O46" si="15">AVERAGE(G46:K46)</f>
        <v>-1.053046099504695E-2</v>
      </c>
      <c r="M46" s="17">
        <f t="shared" si="15"/>
        <v>-1.1056132031262354E-2</v>
      </c>
      <c r="N46" s="17">
        <f t="shared" si="15"/>
        <v>-1.0765683063239464E-2</v>
      </c>
      <c r="O46" s="17">
        <f t="shared" si="15"/>
        <v>-8.115638125224249E-3</v>
      </c>
    </row>
    <row r="48" spans="1:15" s="6" customFormat="1" x14ac:dyDescent="0.2">
      <c r="A48" s="6" t="s">
        <v>0</v>
      </c>
      <c r="B48" s="6" t="s">
        <v>5</v>
      </c>
      <c r="D48" s="7"/>
      <c r="J48" s="7"/>
    </row>
    <row r="50" spans="2:15" x14ac:dyDescent="0.2">
      <c r="B50" t="s">
        <v>12</v>
      </c>
      <c r="F50" s="13">
        <v>257637</v>
      </c>
      <c r="G50" s="13">
        <v>282836</v>
      </c>
      <c r="H50" s="13">
        <v>307394</v>
      </c>
      <c r="I50" s="13">
        <v>350018</v>
      </c>
      <c r="J50" s="12">
        <v>402683</v>
      </c>
      <c r="K50" s="13">
        <f>J50+(J50*K51)</f>
        <v>497690</v>
      </c>
      <c r="L50" s="13">
        <f t="shared" ref="L50:O50" si="16">K50+(K50*L51)</f>
        <v>604420.23000132863</v>
      </c>
      <c r="M50" s="13">
        <f t="shared" si="16"/>
        <v>721053.68052367494</v>
      </c>
      <c r="N50" s="13">
        <f t="shared" si="16"/>
        <v>844702.66352081823</v>
      </c>
      <c r="O50" s="13">
        <f t="shared" si="16"/>
        <v>971408.06304894097</v>
      </c>
    </row>
    <row r="51" spans="2:15" x14ac:dyDescent="0.2">
      <c r="B51" s="11" t="s">
        <v>17</v>
      </c>
      <c r="G51" s="15">
        <f t="shared" ref="G51" si="17">G50/F50-1</f>
        <v>9.7808156437157789E-2</v>
      </c>
      <c r="H51" s="15">
        <f t="shared" ref="H51" si="18">H50/G50-1</f>
        <v>8.6827702272695095E-2</v>
      </c>
      <c r="I51" s="15">
        <f t="shared" ref="I51" si="19">I50/H50-1</f>
        <v>0.13866243322901561</v>
      </c>
      <c r="J51" s="14">
        <f>J50/I50-1</f>
        <v>0.1504636904387775</v>
      </c>
      <c r="K51" s="15">
        <f>CHOOSE(scenario,K52,K53,K54)</f>
        <v>0.2359349662141188</v>
      </c>
      <c r="L51" s="15">
        <f>CHOOSE(scenario,L52,L53,L54)</f>
        <v>0.21445122466058911</v>
      </c>
      <c r="M51" s="15">
        <f>CHOOSE(scenario,M52,M53,M54)</f>
        <v>0.19296748310705941</v>
      </c>
      <c r="N51" s="15">
        <f>CHOOSE(scenario,N52,N53,N54)</f>
        <v>0.17148374155352972</v>
      </c>
      <c r="O51" s="15">
        <f>CHOOSE(scenario,O52,O53,O54)</f>
        <v>0.15</v>
      </c>
    </row>
    <row r="52" spans="2:15" x14ac:dyDescent="0.2">
      <c r="B52" s="11" t="s">
        <v>22</v>
      </c>
      <c r="G52" s="15"/>
      <c r="H52" s="15"/>
      <c r="I52" s="15"/>
      <c r="J52" s="14"/>
      <c r="K52" s="24">
        <f>K53*N16</f>
        <v>0.18874797297129506</v>
      </c>
      <c r="L52" s="24">
        <f>$K$52+($O$52-$K$52)/($O$1-$K$1)</f>
        <v>0.17531097972847129</v>
      </c>
      <c r="M52" s="24">
        <f>$L$52+($O$52-$K$52)/($O$1-$K$1)</f>
        <v>0.16187398648564752</v>
      </c>
      <c r="N52" s="24">
        <f>$M$52+($O$52-$K$52)/($O$1-$K$1)</f>
        <v>0.14843699324282375</v>
      </c>
      <c r="O52" s="24">
        <f>O53*N17</f>
        <v>0.13500000000000001</v>
      </c>
    </row>
    <row r="53" spans="2:15" x14ac:dyDescent="0.2">
      <c r="B53" s="11" t="s">
        <v>23</v>
      </c>
      <c r="G53" s="15"/>
      <c r="H53" s="15"/>
      <c r="I53" s="15"/>
      <c r="J53" s="14"/>
      <c r="K53" s="26">
        <f>K28</f>
        <v>0.2359349662141188</v>
      </c>
      <c r="L53" s="26">
        <f t="shared" ref="L53:O53" si="20">L28</f>
        <v>0.21445122466058911</v>
      </c>
      <c r="M53" s="26">
        <f t="shared" si="20"/>
        <v>0.19296748310705941</v>
      </c>
      <c r="N53" s="26">
        <f t="shared" si="20"/>
        <v>0.17148374155352972</v>
      </c>
      <c r="O53" s="26">
        <f t="shared" si="20"/>
        <v>0.15</v>
      </c>
    </row>
    <row r="54" spans="2:15" x14ac:dyDescent="0.2">
      <c r="B54" s="11" t="s">
        <v>24</v>
      </c>
      <c r="G54" s="15"/>
      <c r="H54" s="15"/>
      <c r="I54" s="15"/>
      <c r="J54" s="14"/>
      <c r="K54" s="25">
        <f>K53*V16</f>
        <v>0.25952846283553072</v>
      </c>
      <c r="L54" s="25">
        <f>$K$54+($O$54-$K$54)/($O$1-$K$1)</f>
        <v>0.24152134712664802</v>
      </c>
      <c r="M54" s="25">
        <f>$L$54+($O$54-$K$54)/($O$1-$K$1)</f>
        <v>0.22351423141776533</v>
      </c>
      <c r="N54" s="25">
        <f>$M$54+($O$54-$K$54)/($O$1-$K$1)</f>
        <v>0.20550711570888264</v>
      </c>
      <c r="O54" s="25">
        <f>O53*V19</f>
        <v>0.1875</v>
      </c>
    </row>
    <row r="56" spans="2:15" x14ac:dyDescent="0.2">
      <c r="B56" t="s">
        <v>13</v>
      </c>
      <c r="F56" s="13">
        <v>78714</v>
      </c>
      <c r="G56" s="13">
        <v>74842</v>
      </c>
      <c r="H56" s="13">
        <v>84293</v>
      </c>
      <c r="I56" s="13">
        <v>112390</v>
      </c>
      <c r="J56" s="12">
        <v>129039</v>
      </c>
      <c r="K56" s="13">
        <f>K50*K57</f>
        <v>165499</v>
      </c>
      <c r="L56" s="13">
        <f t="shared" ref="L56:O56" si="21">L50*L57</f>
        <v>197585.41524768012</v>
      </c>
      <c r="M56" s="13">
        <f t="shared" si="21"/>
        <v>231650.86400523849</v>
      </c>
      <c r="N56" s="13">
        <f t="shared" si="21"/>
        <v>266616.52329520916</v>
      </c>
      <c r="O56" s="13">
        <f t="shared" si="21"/>
        <v>301136.49954517168</v>
      </c>
    </row>
    <row r="57" spans="2:15" x14ac:dyDescent="0.2">
      <c r="B57" s="11" t="s">
        <v>14</v>
      </c>
      <c r="F57" s="16">
        <f>F56/F50</f>
        <v>0.3055228868524319</v>
      </c>
      <c r="G57" s="16">
        <f t="shared" ref="G57" si="22">G56/G50</f>
        <v>0.26461270842467011</v>
      </c>
      <c r="H57" s="16">
        <f t="shared" ref="H57" si="23">H56/H50</f>
        <v>0.27421810445226646</v>
      </c>
      <c r="I57" s="16">
        <f t="shared" ref="I57" si="24">I56/I50</f>
        <v>0.32109777211457696</v>
      </c>
      <c r="J57" s="14">
        <f t="shared" ref="J57" si="25">J56/J50</f>
        <v>0.32044809440676664</v>
      </c>
      <c r="K57" s="18">
        <f>CHOOSE(scenario,K58,K59,K60)</f>
        <v>0.33253430850529447</v>
      </c>
      <c r="L57" s="18">
        <f>CHOOSE(scenario,L58,L59,L60)</f>
        <v>0.32690073137897085</v>
      </c>
      <c r="M57" s="18">
        <f>CHOOSE(scenario,M58,M59,M60)</f>
        <v>0.32126715425264724</v>
      </c>
      <c r="N57" s="18">
        <f>CHOOSE(scenario,N58,N59,N60)</f>
        <v>0.31563357712632362</v>
      </c>
      <c r="O57" s="18">
        <f>CHOOSE(scenario,O58,O59,O60)</f>
        <v>0.31</v>
      </c>
    </row>
    <row r="58" spans="2:15" x14ac:dyDescent="0.2">
      <c r="B58" s="11" t="s">
        <v>22</v>
      </c>
      <c r="G58" s="15"/>
      <c r="H58" s="15"/>
      <c r="I58" s="15"/>
      <c r="J58" s="14"/>
      <c r="K58" s="24">
        <f>K59*N18</f>
        <v>0.26602744680423557</v>
      </c>
      <c r="L58" s="24">
        <f>$K$58+($O$58-$K$58)/($O$1-$K$1)</f>
        <v>0.2692705851031767</v>
      </c>
      <c r="M58" s="24">
        <f>$L$58+($O$58-$K$58)/($O$1-$K$1)</f>
        <v>0.27251372340211782</v>
      </c>
      <c r="N58" s="24">
        <f>$M$58+($O$58-$K$58)/($O$1-$K$1)</f>
        <v>0.27575686170105895</v>
      </c>
      <c r="O58" s="24">
        <f>O59*N19</f>
        <v>0.27900000000000003</v>
      </c>
    </row>
    <row r="59" spans="2:15" x14ac:dyDescent="0.2">
      <c r="B59" s="11" t="s">
        <v>23</v>
      </c>
      <c r="G59" s="15"/>
      <c r="H59" s="15"/>
      <c r="I59" s="15"/>
      <c r="J59" s="14"/>
      <c r="K59" s="26">
        <f>K31</f>
        <v>0.33253430850529447</v>
      </c>
      <c r="L59" s="26">
        <f t="shared" ref="L59:O59" si="26">L31</f>
        <v>0.32690073137897085</v>
      </c>
      <c r="M59" s="26">
        <f t="shared" si="26"/>
        <v>0.32126715425264724</v>
      </c>
      <c r="N59" s="26">
        <f t="shared" si="26"/>
        <v>0.31563357712632362</v>
      </c>
      <c r="O59" s="26">
        <f t="shared" si="26"/>
        <v>0.31</v>
      </c>
    </row>
    <row r="60" spans="2:15" x14ac:dyDescent="0.2">
      <c r="B60" s="11" t="s">
        <v>24</v>
      </c>
      <c r="G60" s="15"/>
      <c r="H60" s="15"/>
      <c r="I60" s="15"/>
      <c r="J60" s="14"/>
      <c r="K60" s="25">
        <f>K59*V18</f>
        <v>0.36578773935582393</v>
      </c>
      <c r="L60" s="25">
        <f>$K$60+($O$60-$K$60)/($O$1-$K$1)</f>
        <v>0.37121580451686798</v>
      </c>
      <c r="M60" s="25">
        <f>$L$60+($O$60-$K$60)/($O$1-$K$1)</f>
        <v>0.37664386967791197</v>
      </c>
      <c r="N60" s="25">
        <f>$M$60+($O$60-$K$60)/($O$1-$K$1)</f>
        <v>0.38207193483895596</v>
      </c>
      <c r="O60" s="25">
        <f>O59*V19</f>
        <v>0.38750000000000001</v>
      </c>
    </row>
    <row r="62" spans="2:15" x14ac:dyDescent="0.2">
      <c r="B62" t="s">
        <v>15</v>
      </c>
      <c r="F62" s="13">
        <v>14701</v>
      </c>
      <c r="G62" s="13">
        <v>11356</v>
      </c>
      <c r="H62" s="13">
        <v>11922</v>
      </c>
      <c r="I62" s="13">
        <v>19697</v>
      </c>
      <c r="J62" s="12">
        <v>26656</v>
      </c>
      <c r="K62" s="13">
        <f>K56*K63</f>
        <v>34754.79</v>
      </c>
      <c r="L62" s="13">
        <f t="shared" ref="L62:O62" si="27">L56*L63</f>
        <v>41492.937202012821</v>
      </c>
      <c r="M62" s="13">
        <f t="shared" si="27"/>
        <v>48646.681441100081</v>
      </c>
      <c r="N62" s="13">
        <f t="shared" si="27"/>
        <v>55989.469891993918</v>
      </c>
      <c r="O62" s="13">
        <f t="shared" si="27"/>
        <v>63238.664904486053</v>
      </c>
    </row>
    <row r="63" spans="2:15" x14ac:dyDescent="0.2">
      <c r="B63" s="11" t="s">
        <v>16</v>
      </c>
      <c r="F63" s="16">
        <f>F62/F56</f>
        <v>0.18676474324770689</v>
      </c>
      <c r="G63" s="16">
        <f>G62/G56</f>
        <v>0.15173298415328293</v>
      </c>
      <c r="H63" s="16">
        <f>H62/H56</f>
        <v>0.14143523186978751</v>
      </c>
      <c r="I63" s="16">
        <f>I62/I56</f>
        <v>0.17525580567666163</v>
      </c>
      <c r="J63" s="14">
        <f>J62/J56</f>
        <v>0.20657320654995776</v>
      </c>
      <c r="K63" s="17">
        <f>K34</f>
        <v>0.21</v>
      </c>
      <c r="L63" s="17">
        <f t="shared" ref="L63:O63" si="28">L34</f>
        <v>0.21</v>
      </c>
      <c r="M63" s="17">
        <f t="shared" si="28"/>
        <v>0.21</v>
      </c>
      <c r="N63" s="17">
        <f t="shared" si="28"/>
        <v>0.21</v>
      </c>
      <c r="O63" s="17">
        <f t="shared" si="28"/>
        <v>0.21</v>
      </c>
    </row>
    <row r="65" spans="2:15" x14ac:dyDescent="0.2">
      <c r="B65" s="27" t="s">
        <v>36</v>
      </c>
      <c r="C65" s="28"/>
      <c r="D65" s="29"/>
      <c r="E65" s="28"/>
      <c r="F65" s="28"/>
      <c r="G65" s="28"/>
      <c r="H65" s="28"/>
      <c r="I65" s="28"/>
      <c r="J65" s="35"/>
      <c r="K65" s="33">
        <f>K56-K62</f>
        <v>130744.20999999999</v>
      </c>
      <c r="L65" s="33">
        <f t="shared" ref="L65:O65" si="29">L56-L62</f>
        <v>156092.47804566729</v>
      </c>
      <c r="M65" s="33">
        <f t="shared" si="29"/>
        <v>183004.18256413841</v>
      </c>
      <c r="N65" s="33">
        <f t="shared" si="29"/>
        <v>210627.05340321525</v>
      </c>
      <c r="O65" s="35">
        <f t="shared" si="29"/>
        <v>237897.83464068564</v>
      </c>
    </row>
    <row r="66" spans="2:15" x14ac:dyDescent="0.2">
      <c r="B66" s="32" t="s">
        <v>14</v>
      </c>
      <c r="C66" s="30"/>
      <c r="D66" s="31"/>
      <c r="E66" s="30"/>
      <c r="F66" s="30"/>
      <c r="G66" s="30"/>
      <c r="H66" s="30"/>
      <c r="I66" s="30"/>
      <c r="J66" s="31"/>
      <c r="K66" s="34">
        <f>K65/K50</f>
        <v>0.26270210371918262</v>
      </c>
      <c r="L66" s="34">
        <f t="shared" ref="L66:O66" si="30">L65/L50</f>
        <v>0.25825157778938695</v>
      </c>
      <c r="M66" s="34">
        <f t="shared" si="30"/>
        <v>0.25380105185959129</v>
      </c>
      <c r="N66" s="34">
        <f t="shared" si="30"/>
        <v>0.24935052592979567</v>
      </c>
      <c r="O66" s="36">
        <f t="shared" si="30"/>
        <v>0.24490000000000001</v>
      </c>
    </row>
    <row r="68" spans="2:15" x14ac:dyDescent="0.2">
      <c r="B68" t="s">
        <v>18</v>
      </c>
      <c r="F68" s="13">
        <f>(11555+886)</f>
        <v>12441</v>
      </c>
      <c r="G68" s="13">
        <v>13475</v>
      </c>
      <c r="H68" s="13">
        <v>11946</v>
      </c>
      <c r="I68" s="13">
        <v>15311</v>
      </c>
      <c r="J68" s="12">
        <v>21136</v>
      </c>
      <c r="K68" s="13">
        <v>30959</v>
      </c>
      <c r="L68" s="13">
        <f t="shared" ref="L68:O68" si="31">L50*L69</f>
        <v>50864.405223250207</v>
      </c>
      <c r="M68" s="13">
        <f t="shared" si="31"/>
        <v>76505.738345462654</v>
      </c>
      <c r="N68" s="13">
        <f t="shared" si="31"/>
        <v>108165.31406769034</v>
      </c>
      <c r="O68" s="13">
        <f t="shared" si="31"/>
        <v>145711.20945734115</v>
      </c>
    </row>
    <row r="69" spans="2:15" x14ac:dyDescent="0.2">
      <c r="B69" s="11" t="s">
        <v>14</v>
      </c>
      <c r="F69" s="16">
        <f>F68/F50</f>
        <v>4.8288871551834561E-2</v>
      </c>
      <c r="G69" s="16">
        <f t="shared" ref="G69:J69" si="32">G68/G50</f>
        <v>4.764245004172029E-2</v>
      </c>
      <c r="H69" s="16">
        <f t="shared" si="32"/>
        <v>3.8862176880485634E-2</v>
      </c>
      <c r="I69" s="16">
        <f t="shared" si="32"/>
        <v>4.3743464621819446E-2</v>
      </c>
      <c r="J69" s="14">
        <f t="shared" si="32"/>
        <v>5.2487937161489313E-2</v>
      </c>
      <c r="K69" s="16">
        <f>K68/K50</f>
        <v>6.2205388896702768E-2</v>
      </c>
      <c r="L69" s="16">
        <f>$K$69+($O$69-$K$69)/($O$1-$K$1)</f>
        <v>8.4154041672527075E-2</v>
      </c>
      <c r="M69" s="16">
        <f>$L$69+($O$69-$K$69)/($O$1-$K$1)</f>
        <v>0.10610269444835138</v>
      </c>
      <c r="N69" s="16">
        <f>$M$69+($O$69-$K$69)/($O$1-$K$1)</f>
        <v>0.12805134722417569</v>
      </c>
      <c r="O69" s="21">
        <f>C22</f>
        <v>0.15</v>
      </c>
    </row>
    <row r="70" spans="2:15" x14ac:dyDescent="0.2">
      <c r="B70" s="11" t="s">
        <v>19</v>
      </c>
      <c r="F70" s="16">
        <f>F68/F72</f>
        <v>0.50491071428571432</v>
      </c>
      <c r="G70" s="16">
        <f t="shared" ref="G70:J70" si="33">G68/G72</f>
        <v>0.42798157852945845</v>
      </c>
      <c r="H70" s="16">
        <f t="shared" si="33"/>
        <v>0.37040711915909585</v>
      </c>
      <c r="I70" s="16">
        <f t="shared" si="33"/>
        <v>0.29144379937184733</v>
      </c>
      <c r="J70" s="14">
        <f t="shared" si="33"/>
        <v>0.23112841317921856</v>
      </c>
      <c r="K70" s="18">
        <f>K68/K72</f>
        <v>0.15876410256410256</v>
      </c>
      <c r="L70" s="18">
        <f t="shared" ref="L70:O70" si="34">L68/L72</f>
        <v>0.24834631466316581</v>
      </c>
      <c r="M70" s="18">
        <f t="shared" si="34"/>
        <v>0.37111160774210228</v>
      </c>
      <c r="N70" s="18">
        <f t="shared" si="34"/>
        <v>0.5496885623929656</v>
      </c>
      <c r="O70" s="18">
        <f t="shared" si="34"/>
        <v>0.83333333333333326</v>
      </c>
    </row>
    <row r="72" spans="2:15" x14ac:dyDescent="0.2">
      <c r="B72" t="s">
        <v>20</v>
      </c>
      <c r="F72" s="13">
        <v>24640</v>
      </c>
      <c r="G72" s="13">
        <v>31485</v>
      </c>
      <c r="H72" s="13">
        <v>32251</v>
      </c>
      <c r="I72" s="13">
        <v>52535</v>
      </c>
      <c r="J72" s="12">
        <v>91447</v>
      </c>
      <c r="K72" s="13">
        <v>195000</v>
      </c>
      <c r="L72" s="13">
        <f>L73*L50</f>
        <v>204812.40195667098</v>
      </c>
      <c r="M72" s="13">
        <f t="shared" ref="M72:O72" si="35">M73*M50</f>
        <v>206152.91127899458</v>
      </c>
      <c r="N72" s="13">
        <f t="shared" si="35"/>
        <v>196775.63163550835</v>
      </c>
      <c r="O72" s="13">
        <f t="shared" si="35"/>
        <v>174853.45134880938</v>
      </c>
    </row>
    <row r="73" spans="2:15" x14ac:dyDescent="0.2">
      <c r="B73" s="11" t="s">
        <v>14</v>
      </c>
      <c r="F73" s="16">
        <f>F72/F50</f>
        <v>9.5638437025737766E-2</v>
      </c>
      <c r="G73" s="16">
        <f t="shared" ref="G73:J73" si="36">G72/G50</f>
        <v>0.11131892686928113</v>
      </c>
      <c r="H73" s="16">
        <f t="shared" si="36"/>
        <v>0.10491746748472644</v>
      </c>
      <c r="I73" s="16">
        <f t="shared" si="36"/>
        <v>0.15009228096840735</v>
      </c>
      <c r="J73" s="14">
        <f t="shared" si="36"/>
        <v>0.22709426521606327</v>
      </c>
      <c r="K73" s="16">
        <f t="shared" ref="K73" si="37">K72/K50</f>
        <v>0.39181016295284216</v>
      </c>
      <c r="L73" s="15">
        <f>$K$73+($O$73-$K$73)/($O$1-$K$1)</f>
        <v>0.33885762221463162</v>
      </c>
      <c r="M73" s="15">
        <f>$L$73+($O$73-$K$73)/($O$1-$K$1)</f>
        <v>0.28590508147642107</v>
      </c>
      <c r="N73" s="15">
        <f>$M$73+($O$73-$K$73)/($O$1-$K$1)</f>
        <v>0.23295254073821053</v>
      </c>
      <c r="O73" s="21">
        <f>C23</f>
        <v>0.18</v>
      </c>
    </row>
    <row r="75" spans="2:15" x14ac:dyDescent="0.2">
      <c r="B75" t="s">
        <v>21</v>
      </c>
      <c r="F75" s="13">
        <v>-1523</v>
      </c>
      <c r="G75" s="13">
        <v>-2235</v>
      </c>
      <c r="H75" s="13">
        <v>-3845</v>
      </c>
      <c r="I75" s="13">
        <f>(-5891-2418-1397+359-1161+1059+1043)</f>
        <v>-8406</v>
      </c>
      <c r="J75" s="12">
        <f>(-8779-3226-4542+907+12939+899+2420)</f>
        <v>618</v>
      </c>
      <c r="K75" s="13">
        <f>K50*K76</f>
        <v>-4857.7632148270814</v>
      </c>
      <c r="L75" s="13">
        <f t="shared" ref="L75:O75" si="38">L50*L76</f>
        <v>-6364.8236566462974</v>
      </c>
      <c r="M75" s="13">
        <f t="shared" si="38"/>
        <v>-7972.0646934974147</v>
      </c>
      <c r="N75" s="13">
        <f t="shared" si="38"/>
        <v>-9093.8011581393366</v>
      </c>
      <c r="O75" s="13">
        <f t="shared" si="38"/>
        <v>-7883.5963116302264</v>
      </c>
    </row>
    <row r="76" spans="2:15" x14ac:dyDescent="0.2">
      <c r="B76" s="11" t="s">
        <v>14</v>
      </c>
      <c r="F76" s="16">
        <f>F75/F50</f>
        <v>-5.9114180028489701E-3</v>
      </c>
      <c r="G76" s="16">
        <f t="shared" ref="G76:J76" si="39">G75/G50</f>
        <v>-7.9021058139699327E-3</v>
      </c>
      <c r="H76" s="16">
        <f t="shared" si="39"/>
        <v>-1.25083768713768E-2</v>
      </c>
      <c r="I76" s="16">
        <f t="shared" si="39"/>
        <v>-2.4015907753315545E-2</v>
      </c>
      <c r="J76" s="14">
        <f t="shared" si="39"/>
        <v>1.5347059597748105E-3</v>
      </c>
      <c r="K76" s="16">
        <f>AVERAGE(F76:J76)</f>
        <v>-9.7606204963472873E-3</v>
      </c>
      <c r="L76" s="16">
        <f t="shared" ref="L76:O76" si="40">AVERAGE(G76:K76)</f>
        <v>-1.053046099504695E-2</v>
      </c>
      <c r="M76" s="16">
        <f t="shared" si="40"/>
        <v>-1.1056132031262354E-2</v>
      </c>
      <c r="N76" s="16">
        <f t="shared" si="40"/>
        <v>-1.0765683063239464E-2</v>
      </c>
      <c r="O76" s="16">
        <f t="shared" si="40"/>
        <v>-8.115638125224249E-3</v>
      </c>
    </row>
    <row r="78" spans="2:15" x14ac:dyDescent="0.2">
      <c r="B78" s="37" t="s">
        <v>37</v>
      </c>
      <c r="C78" s="38"/>
      <c r="D78" s="39"/>
      <c r="E78" s="38"/>
      <c r="F78" s="38"/>
      <c r="G78" s="38"/>
      <c r="H78" s="38"/>
      <c r="I78" s="38"/>
      <c r="J78" s="41"/>
      <c r="K78" s="40">
        <f>K65+K68-K72-K75</f>
        <v>-28439.026785172926</v>
      </c>
      <c r="L78" s="40">
        <f t="shared" ref="L78:O78" si="41">L65+L68-L72-L75</f>
        <v>8509.3049688928259</v>
      </c>
      <c r="M78" s="40">
        <f t="shared" si="41"/>
        <v>61329.074324103894</v>
      </c>
      <c r="N78" s="40">
        <f t="shared" si="41"/>
        <v>131110.53699353657</v>
      </c>
      <c r="O78" s="40">
        <f t="shared" si="41"/>
        <v>216639.18906084765</v>
      </c>
    </row>
    <row r="79" spans="2:15" x14ac:dyDescent="0.2">
      <c r="J79" s="12"/>
      <c r="K79" s="13"/>
      <c r="L79" s="13"/>
      <c r="M79" s="13"/>
      <c r="N79" s="13"/>
      <c r="O79" s="13"/>
    </row>
    <row r="80" spans="2:15" x14ac:dyDescent="0.2">
      <c r="B80" t="s">
        <v>75</v>
      </c>
      <c r="J80" s="12"/>
      <c r="K80" s="59">
        <f ca="1">YEARFRAC(C7,C8)</f>
        <v>0.34722222222222221</v>
      </c>
      <c r="L80" s="13"/>
      <c r="M80" s="13"/>
      <c r="N80" s="13"/>
      <c r="O80" s="13"/>
    </row>
    <row r="81" spans="2:15" x14ac:dyDescent="0.2">
      <c r="B81" t="s">
        <v>76</v>
      </c>
      <c r="J81" s="12"/>
      <c r="K81" s="59">
        <f ca="1">K80/2</f>
        <v>0.1736111111111111</v>
      </c>
      <c r="L81" s="59">
        <f ca="1">K80+0.5</f>
        <v>0.84722222222222221</v>
      </c>
      <c r="M81" s="59">
        <f ca="1">L81+1</f>
        <v>1.8472222222222223</v>
      </c>
      <c r="N81" s="59">
        <f t="shared" ref="N81:O81" ca="1" si="42">M81+1</f>
        <v>2.8472222222222223</v>
      </c>
      <c r="O81" s="59">
        <f t="shared" ca="1" si="42"/>
        <v>3.8472222222222223</v>
      </c>
    </row>
    <row r="83" spans="2:15" x14ac:dyDescent="0.2">
      <c r="B83" s="9" t="s">
        <v>60</v>
      </c>
      <c r="C83" s="9"/>
      <c r="D83" s="54"/>
      <c r="E83" s="9"/>
      <c r="F83" s="9"/>
      <c r="G83" s="9"/>
      <c r="H83" s="9"/>
      <c r="I83" s="9"/>
      <c r="J83" s="54"/>
      <c r="K83" s="55">
        <f ca="1">(K78*K80)/(1+$C$19)^K81</f>
        <v>-9707.8275511093834</v>
      </c>
      <c r="L83" s="55">
        <f ca="1">L78/(1+$C$19)^L81</f>
        <v>7830.3498064361738</v>
      </c>
      <c r="M83" s="55">
        <f t="shared" ref="M83:O83" ca="1" si="43">M78/(1+$C$19)^M81</f>
        <v>51159.747557376322</v>
      </c>
      <c r="N83" s="55">
        <f t="shared" ca="1" si="43"/>
        <v>99145.837911303272</v>
      </c>
      <c r="O83" s="55">
        <f t="shared" ca="1" si="43"/>
        <v>148507.64829270623</v>
      </c>
    </row>
    <row r="85" spans="2:15" x14ac:dyDescent="0.2">
      <c r="B85" t="s">
        <v>52</v>
      </c>
      <c r="O85" s="13">
        <f>O78*(1+$C$20)/(C19-C20)</f>
        <v>2842272.4534228737</v>
      </c>
    </row>
    <row r="86" spans="2:15" x14ac:dyDescent="0.2">
      <c r="B86" t="s">
        <v>53</v>
      </c>
      <c r="O86" s="13">
        <f ca="1">O85/(1+C19)^O81</f>
        <v>1948397.2391828699</v>
      </c>
    </row>
    <row r="87" spans="2:15" x14ac:dyDescent="0.2">
      <c r="O87" s="13"/>
    </row>
    <row r="88" spans="2:15" x14ac:dyDescent="0.2">
      <c r="B88" t="s">
        <v>54</v>
      </c>
      <c r="O88" s="13">
        <f ca="1">O86+SUM(K83:O83)</f>
        <v>2245332.9951995825</v>
      </c>
    </row>
    <row r="89" spans="2:15" x14ac:dyDescent="0.2">
      <c r="B89" t="s">
        <v>55</v>
      </c>
      <c r="O89" s="13">
        <f>30708+96135</f>
        <v>126843</v>
      </c>
    </row>
    <row r="90" spans="2:15" s="30" customFormat="1" x14ac:dyDescent="0.2">
      <c r="B90" s="30" t="s">
        <v>56</v>
      </c>
      <c r="D90" s="31"/>
      <c r="J90" s="31"/>
      <c r="O90" s="56">
        <f>WACC!E12</f>
        <v>46547</v>
      </c>
    </row>
    <row r="91" spans="2:15" x14ac:dyDescent="0.2">
      <c r="B91" t="s">
        <v>57</v>
      </c>
      <c r="O91" s="13">
        <f ca="1">O88+O89-O90</f>
        <v>2325628.9951995825</v>
      </c>
    </row>
    <row r="92" spans="2:15" s="30" customFormat="1" x14ac:dyDescent="0.2">
      <c r="B92" s="30" t="s">
        <v>58</v>
      </c>
      <c r="D92" s="31"/>
      <c r="J92" s="31"/>
      <c r="O92" s="56">
        <v>12097</v>
      </c>
    </row>
    <row r="94" spans="2:15" s="52" customFormat="1" x14ac:dyDescent="0.2">
      <c r="B94" s="52" t="s">
        <v>59</v>
      </c>
      <c r="D94" s="53"/>
      <c r="J94" s="53"/>
      <c r="O94" s="60">
        <f ca="1">O91/O92</f>
        <v>192.24840829954391</v>
      </c>
    </row>
  </sheetData>
  <dataValidations disablePrompts="1" count="1">
    <dataValidation type="list" allowBlank="1" showInputMessage="1" showErrorMessage="1" sqref="C17" xr:uid="{AEC3AF85-B2EF-F04B-9435-0209000D764D}">
      <formula1>"1,2,3"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AD58F8-F2A1-D942-99F7-B230CFA6F536}">
  <dimension ref="A2:J33"/>
  <sheetViews>
    <sheetView showGridLines="0" topLeftCell="A17" zoomScale="250" zoomScaleNormal="250" workbookViewId="0">
      <selection activeCell="D32" sqref="D32"/>
    </sheetView>
  </sheetViews>
  <sheetFormatPr baseColWidth="10" defaultRowHeight="16" x14ac:dyDescent="0.2"/>
  <cols>
    <col min="1" max="1" width="2.83203125" customWidth="1"/>
    <col min="6" max="6" width="10.83203125" customWidth="1"/>
    <col min="8" max="8" width="10.83203125" customWidth="1"/>
  </cols>
  <sheetData>
    <row r="2" spans="1:6" s="30" customFormat="1" ht="27" x14ac:dyDescent="0.35">
      <c r="A2" s="30" t="s">
        <v>0</v>
      </c>
      <c r="B2" s="43" t="s">
        <v>40</v>
      </c>
    </row>
    <row r="4" spans="1:6" x14ac:dyDescent="0.2">
      <c r="F4" t="s">
        <v>51</v>
      </c>
    </row>
    <row r="6" spans="1:6" x14ac:dyDescent="0.2">
      <c r="B6" t="s">
        <v>41</v>
      </c>
      <c r="E6" s="20">
        <f>Rf+beta*MRP</f>
        <v>0.10384953079095063</v>
      </c>
    </row>
    <row r="7" spans="1:6" x14ac:dyDescent="0.2">
      <c r="B7" t="s">
        <v>42</v>
      </c>
      <c r="E7" s="62">
        <f>D33</f>
        <v>1.2656845468823013</v>
      </c>
    </row>
    <row r="8" spans="1:6" x14ac:dyDescent="0.2">
      <c r="B8" t="s">
        <v>43</v>
      </c>
      <c r="E8" s="44">
        <v>4.7399999999999998E-2</v>
      </c>
    </row>
    <row r="9" spans="1:6" x14ac:dyDescent="0.2">
      <c r="B9" t="s">
        <v>44</v>
      </c>
      <c r="E9" s="44">
        <v>4.4600000000000001E-2</v>
      </c>
    </row>
    <row r="11" spans="1:6" x14ac:dyDescent="0.2">
      <c r="B11" t="s">
        <v>45</v>
      </c>
      <c r="E11" s="45">
        <v>4220000</v>
      </c>
    </row>
    <row r="12" spans="1:6" x14ac:dyDescent="0.2">
      <c r="B12" t="s">
        <v>46</v>
      </c>
      <c r="E12" s="45">
        <v>46547</v>
      </c>
    </row>
    <row r="13" spans="1:6" x14ac:dyDescent="0.2">
      <c r="B13" t="s">
        <v>47</v>
      </c>
      <c r="E13" s="20">
        <f>E11/(E11+E12)</f>
        <v>0.98909024089035003</v>
      </c>
    </row>
    <row r="14" spans="1:6" x14ac:dyDescent="0.2">
      <c r="B14" t="s">
        <v>48</v>
      </c>
      <c r="E14" s="20">
        <f>E12/(E11+E12)</f>
        <v>1.0909759109650028E-2</v>
      </c>
    </row>
    <row r="16" spans="1:6" x14ac:dyDescent="0.2">
      <c r="B16" t="s">
        <v>49</v>
      </c>
      <c r="E16" s="46">
        <v>4.5100000000000001E-2</v>
      </c>
    </row>
    <row r="17" spans="1:10" x14ac:dyDescent="0.2">
      <c r="B17" t="s">
        <v>50</v>
      </c>
      <c r="E17" s="47">
        <f>1-16.8%</f>
        <v>0.83199999999999996</v>
      </c>
    </row>
    <row r="19" spans="1:10" x14ac:dyDescent="0.2">
      <c r="A19" t="s">
        <v>0</v>
      </c>
      <c r="B19" s="48" t="s">
        <v>34</v>
      </c>
      <c r="C19" s="49"/>
      <c r="D19" s="49"/>
      <c r="E19" s="50">
        <f>(E6*(E13))+(E16*tax_rate*E14)</f>
        <v>0.10312592649939441</v>
      </c>
    </row>
    <row r="21" spans="1:10" x14ac:dyDescent="0.2">
      <c r="J21" s="61" t="s">
        <v>77</v>
      </c>
    </row>
    <row r="23" spans="1:10" x14ac:dyDescent="0.2">
      <c r="B23" s="64" t="s">
        <v>63</v>
      </c>
      <c r="C23" s="65"/>
      <c r="D23" s="65"/>
      <c r="E23" s="65"/>
      <c r="F23" s="65"/>
      <c r="G23" s="65"/>
      <c r="H23" s="66"/>
    </row>
    <row r="24" spans="1:10" ht="2" customHeight="1" x14ac:dyDescent="0.2">
      <c r="B24" s="67"/>
      <c r="H24" s="2"/>
    </row>
    <row r="25" spans="1:10" x14ac:dyDescent="0.2">
      <c r="B25" s="68" t="s">
        <v>64</v>
      </c>
      <c r="C25" s="63"/>
      <c r="D25" s="63" t="s">
        <v>65</v>
      </c>
      <c r="E25" s="63" t="s">
        <v>66</v>
      </c>
      <c r="F25" s="63" t="s">
        <v>67</v>
      </c>
      <c r="G25" s="63" t="s">
        <v>68</v>
      </c>
      <c r="H25" s="69" t="s">
        <v>69</v>
      </c>
    </row>
    <row r="26" spans="1:10" x14ac:dyDescent="0.2">
      <c r="B26" s="67" t="s">
        <v>70</v>
      </c>
      <c r="D26" s="58">
        <v>1.1000000000000001</v>
      </c>
      <c r="E26" s="13">
        <v>3577000</v>
      </c>
      <c r="F26" s="13">
        <f>40152+2999-30242-64323</f>
        <v>-51414</v>
      </c>
      <c r="G26" s="17">
        <v>0.18</v>
      </c>
      <c r="H26" s="70">
        <f>D26/(1+(1-G26)*(F26/E26))</f>
        <v>1.1131195248378563</v>
      </c>
    </row>
    <row r="27" spans="1:10" x14ac:dyDescent="0.2">
      <c r="B27" s="67" t="s">
        <v>71</v>
      </c>
      <c r="D27">
        <v>1.0900000000000001</v>
      </c>
      <c r="E27" s="13">
        <v>4572000</v>
      </c>
      <c r="F27" s="13">
        <f>7979+12350+78328-35934-18763</f>
        <v>43960</v>
      </c>
      <c r="G27" s="46">
        <v>0.156</v>
      </c>
      <c r="H27" s="70">
        <f>D27/(1+(1-G27)*(F27/E27))</f>
        <v>1.0812257443002611</v>
      </c>
    </row>
    <row r="28" spans="1:10" x14ac:dyDescent="0.2">
      <c r="B28" s="67" t="s">
        <v>72</v>
      </c>
      <c r="D28">
        <v>1.72</v>
      </c>
      <c r="E28" s="13">
        <v>409387</v>
      </c>
      <c r="F28" s="13">
        <f>156071+3542+7819-31894</f>
        <v>135538</v>
      </c>
      <c r="G28" s="46">
        <v>0.121</v>
      </c>
      <c r="H28" s="70">
        <f>D28/(1+(1-G28)*(F28/E28))</f>
        <v>1.3322846990471604</v>
      </c>
    </row>
    <row r="29" spans="1:10" x14ac:dyDescent="0.2">
      <c r="B29" s="67" t="s">
        <v>73</v>
      </c>
      <c r="D29">
        <v>1.45</v>
      </c>
      <c r="E29" s="13">
        <v>1384000</v>
      </c>
      <c r="F29" s="13">
        <f>65648-86810-36219</f>
        <v>-57381</v>
      </c>
      <c r="G29" s="46">
        <v>0.19600000000000001</v>
      </c>
      <c r="H29" s="70">
        <f>D29/(1+(1-G29)*(F29/E29))</f>
        <v>1.5000011107243625</v>
      </c>
    </row>
    <row r="30" spans="1:10" x14ac:dyDescent="0.2">
      <c r="B30" s="71" t="s">
        <v>74</v>
      </c>
      <c r="C30" s="30"/>
      <c r="D30" s="30">
        <v>1.24</v>
      </c>
      <c r="E30" s="56">
        <v>2816000</v>
      </c>
      <c r="F30" s="56">
        <f>58744-35873-45719</f>
        <v>-22848</v>
      </c>
      <c r="G30" s="72">
        <v>0.29599999999999999</v>
      </c>
      <c r="H30" s="73">
        <f>D30/(1+(1-G30)*(F30/E30))</f>
        <v>1.247123569830874</v>
      </c>
    </row>
    <row r="32" spans="1:10" x14ac:dyDescent="0.2">
      <c r="B32" t="s">
        <v>78</v>
      </c>
      <c r="D32" s="58">
        <f>AVERAGE(H26:H30)</f>
        <v>1.2547509297481028</v>
      </c>
    </row>
    <row r="33" spans="2:10" x14ac:dyDescent="0.2">
      <c r="B33" t="s">
        <v>80</v>
      </c>
      <c r="D33" s="58">
        <f>D32*(1+(1-21%)*(E12/E11))</f>
        <v>1.2656845468823013</v>
      </c>
      <c r="J33" t="s">
        <v>79</v>
      </c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5</vt:i4>
      </vt:variant>
    </vt:vector>
  </HeadingPairs>
  <TitlesOfParts>
    <vt:vector size="7" baseType="lpstr">
      <vt:lpstr>DCF</vt:lpstr>
      <vt:lpstr>WACC</vt:lpstr>
      <vt:lpstr>beta</vt:lpstr>
      <vt:lpstr>MRP</vt:lpstr>
      <vt:lpstr>Rf</vt:lpstr>
      <vt:lpstr>scenario</vt:lpstr>
      <vt:lpstr>tax_rate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COPALU, ELLIOT (UG)</dc:creator>
  <cp:lastModifiedBy>COPALU, ELLIOT (UG)</cp:lastModifiedBy>
  <dcterms:created xsi:type="dcterms:W3CDTF">2026-08-11T15:56:30Z</dcterms:created>
  <dcterms:modified xsi:type="dcterms:W3CDTF">2026-08-26T15:56:29Z</dcterms:modified>
</cp:coreProperties>
</file>