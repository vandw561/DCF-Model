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liot/Documents/"/>
    </mc:Choice>
  </mc:AlternateContent>
  <xr:revisionPtr revIDLastSave="0" documentId="13_ncr:1_{B431A5C1-6623-DC41-845F-7D78A659995A}" xr6:coauthVersionLast="47" xr6:coauthVersionMax="47" xr10:uidLastSave="{00000000-0000-0000-0000-000000000000}"/>
  <bookViews>
    <workbookView xWindow="40" yWindow="660" windowWidth="38400" windowHeight="21000" activeTab="4" xr2:uid="{56CB6079-5FF4-8045-ADED-59405144AC54}"/>
  </bookViews>
  <sheets>
    <sheet name="DCF" sheetId="1" r:id="rId1"/>
    <sheet name="WACC" sheetId="2" r:id="rId2"/>
    <sheet name="IS" sheetId="3" r:id="rId3"/>
    <sheet name="BS" sheetId="4" r:id="rId4"/>
    <sheet name="Sheet3" sheetId="5" r:id="rId5"/>
  </sheets>
  <definedNames>
    <definedName name="beta">WACC!$E$7</definedName>
    <definedName name="MRP">WACC!$E$9</definedName>
    <definedName name="Rf">WACC!$E$8</definedName>
    <definedName name="scenario">DCF!$C$17</definedName>
    <definedName name="tax_rate">WACC!$E$17</definedName>
  </definedNames>
  <calcPr calcId="191029" iterate="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78" i="1" l="1"/>
  <c r="M78" i="1"/>
  <c r="N78" i="1"/>
  <c r="O78" i="1"/>
  <c r="K78" i="1"/>
  <c r="C19" i="1"/>
  <c r="D33" i="2"/>
  <c r="E7" i="2"/>
  <c r="O89" i="1"/>
  <c r="O90" i="1"/>
  <c r="E17" i="2"/>
  <c r="J63" i="1"/>
  <c r="D32" i="2"/>
  <c r="H29" i="2"/>
  <c r="H30" i="2"/>
  <c r="H28" i="2"/>
  <c r="H27" i="2"/>
  <c r="H26" i="2"/>
  <c r="F30" i="2"/>
  <c r="F29" i="2"/>
  <c r="F28" i="2"/>
  <c r="F27" i="2"/>
  <c r="F26" i="2"/>
  <c r="F57" i="1"/>
  <c r="O69" i="1"/>
  <c r="L63" i="1"/>
  <c r="M63" i="1"/>
  <c r="N63" i="1"/>
  <c r="O63" i="1"/>
  <c r="K63" i="1"/>
  <c r="N23" i="1"/>
  <c r="V23" i="1"/>
  <c r="C20" i="1"/>
  <c r="E14" i="2"/>
  <c r="E13" i="2"/>
  <c r="E6" i="2"/>
  <c r="K38" i="1"/>
  <c r="K40" i="1"/>
  <c r="O43" i="1"/>
  <c r="O73" i="1"/>
  <c r="K39" i="1"/>
  <c r="L39" i="1"/>
  <c r="M39" i="1"/>
  <c r="N39" i="1"/>
  <c r="G76" i="1"/>
  <c r="H76" i="1"/>
  <c r="F76" i="1"/>
  <c r="G69" i="1"/>
  <c r="H69" i="1"/>
  <c r="I69" i="1"/>
  <c r="J69" i="1"/>
  <c r="G73" i="1"/>
  <c r="H73" i="1"/>
  <c r="I73" i="1"/>
  <c r="J73" i="1"/>
  <c r="F73" i="1"/>
  <c r="J75" i="1"/>
  <c r="J76" i="1"/>
  <c r="I75" i="1"/>
  <c r="I76" i="1"/>
  <c r="J70" i="1"/>
  <c r="I70" i="1"/>
  <c r="H70" i="1"/>
  <c r="G70" i="1"/>
  <c r="F68" i="1"/>
  <c r="F69" i="1"/>
  <c r="E19" i="2"/>
  <c r="R22" i="1"/>
  <c r="O59" i="1"/>
  <c r="O60" i="1"/>
  <c r="K76" i="1"/>
  <c r="L76" i="1"/>
  <c r="M76" i="1"/>
  <c r="O58" i="1"/>
  <c r="O57" i="1"/>
  <c r="N22" i="1"/>
  <c r="V22" i="1"/>
  <c r="F70" i="1"/>
  <c r="O53" i="1"/>
  <c r="F63" i="1"/>
  <c r="G63" i="1"/>
  <c r="H63" i="1"/>
  <c r="I63" i="1"/>
  <c r="J57" i="1"/>
  <c r="I57" i="1"/>
  <c r="H57" i="1"/>
  <c r="G57" i="1"/>
  <c r="J51" i="1"/>
  <c r="I51" i="1"/>
  <c r="H51" i="1"/>
  <c r="G51" i="1"/>
  <c r="K43" i="1"/>
  <c r="L43" i="1"/>
  <c r="M43" i="1"/>
  <c r="N43" i="1"/>
  <c r="G46" i="1"/>
  <c r="H46" i="1"/>
  <c r="F46" i="1"/>
  <c r="I45" i="1"/>
  <c r="I46" i="1"/>
  <c r="J45" i="1"/>
  <c r="J46" i="1"/>
  <c r="G40" i="1"/>
  <c r="H40" i="1"/>
  <c r="I40" i="1"/>
  <c r="J40" i="1"/>
  <c r="G43" i="1"/>
  <c r="H43" i="1"/>
  <c r="I43" i="1"/>
  <c r="J43" i="1"/>
  <c r="F43" i="1"/>
  <c r="G39" i="1"/>
  <c r="H39" i="1"/>
  <c r="I39" i="1"/>
  <c r="J39" i="1"/>
  <c r="F38" i="1"/>
  <c r="F40" i="1"/>
  <c r="K33" i="1"/>
  <c r="K31" i="1"/>
  <c r="K28" i="1"/>
  <c r="L28" i="1"/>
  <c r="L53" i="1"/>
  <c r="G34" i="1"/>
  <c r="H34" i="1"/>
  <c r="I34" i="1"/>
  <c r="J34" i="1"/>
  <c r="F34" i="1"/>
  <c r="G31" i="1"/>
  <c r="H31" i="1"/>
  <c r="I31" i="1"/>
  <c r="J31" i="1"/>
  <c r="F31" i="1"/>
  <c r="G28" i="1"/>
  <c r="H28" i="1"/>
  <c r="I28" i="1"/>
  <c r="J28" i="1"/>
  <c r="C7" i="1"/>
  <c r="K80" i="1"/>
  <c r="K81" i="1"/>
  <c r="L81" i="1"/>
  <c r="N76" i="1"/>
  <c r="O76" i="1"/>
  <c r="K53" i="1"/>
  <c r="L31" i="1"/>
  <c r="K59" i="1"/>
  <c r="O52" i="1"/>
  <c r="O54" i="1"/>
  <c r="O51" i="1"/>
  <c r="K46" i="1"/>
  <c r="K45" i="1"/>
  <c r="F39" i="1"/>
  <c r="M28" i="1"/>
  <c r="L27" i="1"/>
  <c r="L38" i="1"/>
  <c r="M81" i="1"/>
  <c r="K52" i="1"/>
  <c r="K54" i="1"/>
  <c r="K51" i="1"/>
  <c r="K50" i="1"/>
  <c r="K60" i="1"/>
  <c r="K58" i="1"/>
  <c r="L58" i="1"/>
  <c r="M58" i="1"/>
  <c r="N58" i="1"/>
  <c r="L54" i="1"/>
  <c r="M31" i="1"/>
  <c r="L59" i="1"/>
  <c r="N28" i="1"/>
  <c r="N53" i="1"/>
  <c r="M53" i="1"/>
  <c r="L52" i="1"/>
  <c r="M52" i="1"/>
  <c r="N52" i="1"/>
  <c r="L42" i="1"/>
  <c r="L46" i="1"/>
  <c r="L30" i="1"/>
  <c r="L33" i="1"/>
  <c r="M27" i="1"/>
  <c r="M38" i="1"/>
  <c r="N81" i="1"/>
  <c r="K69" i="1"/>
  <c r="L69" i="1"/>
  <c r="M69" i="1"/>
  <c r="N69" i="1"/>
  <c r="K75" i="1"/>
  <c r="K73" i="1"/>
  <c r="L73" i="1"/>
  <c r="M73" i="1"/>
  <c r="N73" i="1"/>
  <c r="M54" i="1"/>
  <c r="N54" i="1"/>
  <c r="N51" i="1"/>
  <c r="L51" i="1"/>
  <c r="L50" i="1"/>
  <c r="M51" i="1"/>
  <c r="N31" i="1"/>
  <c r="N59" i="1"/>
  <c r="M59" i="1"/>
  <c r="K57" i="1"/>
  <c r="K56" i="1"/>
  <c r="K62" i="1"/>
  <c r="K65" i="1"/>
  <c r="K66" i="1"/>
  <c r="L60" i="1"/>
  <c r="M60" i="1"/>
  <c r="N60" i="1"/>
  <c r="L40" i="1"/>
  <c r="M42" i="1"/>
  <c r="M46" i="1"/>
  <c r="M45" i="1"/>
  <c r="L45" i="1"/>
  <c r="N27" i="1"/>
  <c r="N38" i="1"/>
  <c r="M30" i="1"/>
  <c r="M33" i="1"/>
  <c r="M57" i="1"/>
  <c r="O81" i="1"/>
  <c r="M50" i="1"/>
  <c r="L68" i="1"/>
  <c r="L75" i="1"/>
  <c r="M72" i="1"/>
  <c r="M56" i="1"/>
  <c r="M62" i="1"/>
  <c r="M65" i="1"/>
  <c r="M66" i="1"/>
  <c r="L72" i="1"/>
  <c r="L57" i="1"/>
  <c r="L56" i="1"/>
  <c r="L62" i="1"/>
  <c r="L65" i="1"/>
  <c r="N57" i="1"/>
  <c r="M40" i="1"/>
  <c r="N46" i="1"/>
  <c r="O46" i="1"/>
  <c r="N42" i="1"/>
  <c r="O27" i="1"/>
  <c r="N30" i="1"/>
  <c r="N33" i="1"/>
  <c r="L83" i="1"/>
  <c r="N45" i="1"/>
  <c r="L66" i="1"/>
  <c r="M68" i="1"/>
  <c r="M75" i="1"/>
  <c r="N50" i="1"/>
  <c r="N40" i="1"/>
  <c r="O30" i="1"/>
  <c r="O33" i="1"/>
  <c r="O42" i="1"/>
  <c r="O45" i="1"/>
  <c r="O38" i="1"/>
  <c r="M83" i="1"/>
  <c r="N56" i="1"/>
  <c r="N62" i="1"/>
  <c r="N65" i="1"/>
  <c r="N75" i="1"/>
  <c r="N72" i="1"/>
  <c r="N68" i="1"/>
  <c r="O50" i="1"/>
  <c r="O40" i="1"/>
  <c r="O56" i="1"/>
  <c r="O62" i="1"/>
  <c r="O65" i="1"/>
  <c r="O68" i="1"/>
  <c r="O72" i="1"/>
  <c r="O75" i="1"/>
  <c r="N66" i="1"/>
  <c r="N83" i="1"/>
  <c r="L70" i="1"/>
  <c r="N70" i="1"/>
  <c r="M70" i="1"/>
  <c r="O70" i="1"/>
  <c r="O83" i="1"/>
  <c r="O66" i="1"/>
  <c r="K70" i="1"/>
  <c r="K83" i="1"/>
  <c r="O85" i="1"/>
  <c r="O86" i="1"/>
  <c r="O88" i="1"/>
  <c r="O91" i="1"/>
  <c r="O94" i="1"/>
  <c r="C10" i="1"/>
  <c r="C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H25" authorId="0" shapeId="0" xr:uid="{0365D2C1-07BE-3F41-B97C-8B6E210462DC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=levB / (1+(1-taxR) * (D/E)</t>
        </r>
      </text>
    </comment>
  </commentList>
</comments>
</file>

<file path=xl/sharedStrings.xml><?xml version="1.0" encoding="utf-8"?>
<sst xmlns="http://schemas.openxmlformats.org/spreadsheetml/2006/main" count="442" uniqueCount="211">
  <si>
    <t>X</t>
  </si>
  <si>
    <t>General</t>
  </si>
  <si>
    <t>Assumptions</t>
  </si>
  <si>
    <t>Financials</t>
  </si>
  <si>
    <t>Cash Flow Items</t>
  </si>
  <si>
    <t>DCF Model</t>
  </si>
  <si>
    <t>Company Ticker</t>
  </si>
  <si>
    <t>Date</t>
  </si>
  <si>
    <t>End of fiscal year</t>
  </si>
  <si>
    <t>Share Price</t>
  </si>
  <si>
    <t>Intrinsic Value</t>
  </si>
  <si>
    <t>Delta</t>
  </si>
  <si>
    <t>Revenue</t>
  </si>
  <si>
    <t>EBIT</t>
  </si>
  <si>
    <t>% revenue</t>
  </si>
  <si>
    <t>Taxes</t>
  </si>
  <si>
    <t>tax rate</t>
  </si>
  <si>
    <t>% growth</t>
  </si>
  <si>
    <t>D&amp;A</t>
  </si>
  <si>
    <t>% CapEx</t>
  </si>
  <si>
    <t>CapEx</t>
  </si>
  <si>
    <t>Change in Working Capital</t>
  </si>
  <si>
    <t xml:space="preserve">     Bearish Case</t>
  </si>
  <si>
    <t xml:space="preserve">     Street Case</t>
  </si>
  <si>
    <t xml:space="preserve">     Bullish Case</t>
  </si>
  <si>
    <t>Triggers</t>
  </si>
  <si>
    <t>Scenario</t>
  </si>
  <si>
    <t>1 - Bearish Case</t>
  </si>
  <si>
    <t>2 - Street Case</t>
  </si>
  <si>
    <t xml:space="preserve">3 - Bullish Case </t>
  </si>
  <si>
    <t>Rev g FY2026 (Street Case)</t>
  </si>
  <si>
    <t>Rev g FY2030 (Street Case)</t>
  </si>
  <si>
    <t>EBIT g FY2026</t>
  </si>
  <si>
    <t>EBIT g FY2030</t>
  </si>
  <si>
    <t>WACC</t>
  </si>
  <si>
    <t>TGR</t>
  </si>
  <si>
    <t>EBIAT (or NOPAT)</t>
  </si>
  <si>
    <t>Unlevered Free Cash Flow</t>
  </si>
  <si>
    <t>CapEx Target 2030</t>
  </si>
  <si>
    <t>D&amp;A Target 2030</t>
  </si>
  <si>
    <t>WACC Calculation</t>
  </si>
  <si>
    <t>Re</t>
  </si>
  <si>
    <t>Beta Equity</t>
  </si>
  <si>
    <t>Risk Free Rate</t>
  </si>
  <si>
    <t>MRP</t>
  </si>
  <si>
    <t>E</t>
  </si>
  <si>
    <t>D</t>
  </si>
  <si>
    <t>E/E+D</t>
  </si>
  <si>
    <t>D/D+E</t>
  </si>
  <si>
    <t>Rd</t>
  </si>
  <si>
    <t>1-t</t>
  </si>
  <si>
    <t>WACC = [Re*(E/E+D)] + [Rd*(1-t)*(D/D+E)</t>
  </si>
  <si>
    <t>Terminal Value</t>
  </si>
  <si>
    <t>Discounted TV</t>
  </si>
  <si>
    <t>Enterpriuse Value</t>
  </si>
  <si>
    <t>Plus: Cash</t>
  </si>
  <si>
    <t>Minus: Debt</t>
  </si>
  <si>
    <t>Equity Value</t>
  </si>
  <si>
    <t>Shares Outstanding</t>
  </si>
  <si>
    <t>Price Per Share</t>
  </si>
  <si>
    <t>Discounted UFCF</t>
  </si>
  <si>
    <t>GOOGL</t>
  </si>
  <si>
    <t>GOOGL DCF MODEL</t>
  </si>
  <si>
    <t>Beta</t>
  </si>
  <si>
    <t>Company Name</t>
  </si>
  <si>
    <t>Lev Beta</t>
  </si>
  <si>
    <t>Market Cap</t>
  </si>
  <si>
    <t>Net Debt</t>
  </si>
  <si>
    <t>Tax Rate</t>
  </si>
  <si>
    <t>UnLev Beta</t>
  </si>
  <si>
    <t>Microsoft</t>
  </si>
  <si>
    <t>Apple</t>
  </si>
  <si>
    <t>Oracle</t>
  </si>
  <si>
    <t>Amazon</t>
  </si>
  <si>
    <t>Meta</t>
  </si>
  <si>
    <t>stub</t>
  </si>
  <si>
    <t>Discount period</t>
  </si>
  <si>
    <t>=levB / (1+(1-taxR) * (D/E)</t>
  </si>
  <si>
    <t>Industry Average Ulbeta</t>
  </si>
  <si>
    <t>unlevB * (1+(1-taxR) * (D/E))</t>
  </si>
  <si>
    <t>GOOGL Lev Beta</t>
  </si>
  <si>
    <t>GOOGL INCOME STATEMENT</t>
  </si>
  <si>
    <t>($ in millions, FY ending Dec-31) | Blue = input, Black = formula, Green = link to another sheet</t>
  </si>
  <si>
    <t>Historical</t>
  </si>
  <si>
    <t>Projected (linked to DCF scenario)</t>
  </si>
  <si>
    <t>Fiscal year</t>
  </si>
  <si>
    <t>2021A</t>
  </si>
  <si>
    <t>2022A</t>
  </si>
  <si>
    <t>2023A</t>
  </si>
  <si>
    <t>2024A</t>
  </si>
  <si>
    <t>2025A</t>
  </si>
  <si>
    <t>2026E</t>
  </si>
  <si>
    <t>2027E</t>
  </si>
  <si>
    <t>2028E</t>
  </si>
  <si>
    <t>2029E</t>
  </si>
  <si>
    <t>2030E</t>
  </si>
  <si>
    <t>Income Statement</t>
  </si>
  <si>
    <t>Cost of revenue</t>
  </si>
  <si>
    <t>Gross profit</t>
  </si>
  <si>
    <t>% gross margin</t>
  </si>
  <si>
    <t>Research &amp; development</t>
  </si>
  <si>
    <t>Selling, general &amp; administrative (S&amp;M + G&amp;A)</t>
  </si>
  <si>
    <t>Other operating expenses</t>
  </si>
  <si>
    <t>--</t>
  </si>
  <si>
    <t>Total operating expenses</t>
  </si>
  <si>
    <t>Operating income (EBIT)</t>
  </si>
  <si>
    <t>% EBIT margin</t>
  </si>
  <si>
    <t>Interest &amp; investment income</t>
  </si>
  <si>
    <t>Interest expense</t>
  </si>
  <si>
    <t>Other non-operating income / (expense), net</t>
  </si>
  <si>
    <t>Pre-tax income</t>
  </si>
  <si>
    <t>Income tax expense / (benefit)</t>
  </si>
  <si>
    <t>% effective tax rate</t>
  </si>
  <si>
    <t>Equity-method, NCI &amp; other adjustments</t>
  </si>
  <si>
    <t>Net income</t>
  </si>
  <si>
    <t>% net margin</t>
  </si>
  <si>
    <t>Memo: D&amp;A</t>
  </si>
  <si>
    <t>Memo: EBITDA</t>
  </si>
  <si>
    <t>% EBITDA margin</t>
  </si>
  <si>
    <t>Memo: Diluted shares (m)</t>
  </si>
  <si>
    <t>Memo: Diluted EPS ($)</t>
  </si>
  <si>
    <t>Checks</t>
  </si>
  <si>
    <t>Revenue: IS less DCF</t>
  </si>
  <si>
    <t>EBIT: IS less DCF</t>
  </si>
  <si>
    <t>Projection drivers</t>
  </si>
  <si>
    <t>Cost of revenue, % revenue</t>
  </si>
  <si>
    <t>R&amp;D, % of R&amp;D + SG&amp;A (total opex = gross profit - DCF EBIT)</t>
  </si>
  <si>
    <t>Yield on prior-year cash &amp; ST investments</t>
  </si>
  <si>
    <t>Interest rate on prior-year debt (WACC Rd)</t>
  </si>
  <si>
    <t>Tax rate on pre-tax income (DCF tax rate)</t>
  </si>
  <si>
    <t>GOOGL BALANCE SHEET</t>
  </si>
  <si>
    <t>Assets</t>
  </si>
  <si>
    <t>Cash &amp; cash equivalents</t>
  </si>
  <si>
    <t>Short-term investments (marketable securities)</t>
  </si>
  <si>
    <t>Accounts receivable</t>
  </si>
  <si>
    <t>Prepaid &amp; other current assets</t>
  </si>
  <si>
    <t>Total current assets</t>
  </si>
  <si>
    <t>Property &amp; equipment, net</t>
  </si>
  <si>
    <t>Long-term investments</t>
  </si>
  <si>
    <t>Goodwill</t>
  </si>
  <si>
    <t>Deferred tax assets</t>
  </si>
  <si>
    <t>Other non-current assets (incl. lease ROU)</t>
  </si>
  <si>
    <t>Total assets</t>
  </si>
  <si>
    <t>Liabilities</t>
  </si>
  <si>
    <t>Accounts payable</t>
  </si>
  <si>
    <t>Accrued expenses</t>
  </si>
  <si>
    <t>Unearned revenue</t>
  </si>
  <si>
    <t>Income taxes payable</t>
  </si>
  <si>
    <t>Other current liabilities (incl. current leases)</t>
  </si>
  <si>
    <t>Current portion of debt</t>
  </si>
  <si>
    <t>Total current liabilities</t>
  </si>
  <si>
    <t>Long-term debt</t>
  </si>
  <si>
    <t>Long-term lease liabilities</t>
  </si>
  <si>
    <t>Deferred tax liabilities</t>
  </si>
  <si>
    <t>Other non-current liabilities</t>
  </si>
  <si>
    <t>Total liabilities</t>
  </si>
  <si>
    <t>Shareholders' equity</t>
  </si>
  <si>
    <t>Common stock &amp; additional paid-in capital</t>
  </si>
  <si>
    <t>Retained earnings / (accumulated deficit)</t>
  </si>
  <si>
    <t>Accumulated other comprehensive income / (loss)</t>
  </si>
  <si>
    <t>Total equity</t>
  </si>
  <si>
    <t>Total liabilities &amp; equity</t>
  </si>
  <si>
    <t>Checks &amp; memo</t>
  </si>
  <si>
    <t>Balance check: assets - (liabilities + equity)</t>
  </si>
  <si>
    <t>Retained earnings roll-forward check</t>
  </si>
  <si>
    <t>Memo: operating working capital (AR + other CA - operating CL)</t>
  </si>
  <si>
    <t>Memo: total debt</t>
  </si>
  <si>
    <t>Memo: net cash / (net debt)</t>
  </si>
  <si>
    <t>Accounts receivable, % revenue</t>
  </si>
  <si>
    <t>Accounts payable, % revenue</t>
  </si>
  <si>
    <t>Accrued expenses, % revenue</t>
  </si>
  <si>
    <t>Unearned revenue, % revenue</t>
  </si>
  <si>
    <t>Non-cash PP&amp;E additions via finance leases, % revenue</t>
  </si>
  <si>
    <t>GOOGL CASH FLOW STATEMENT</t>
  </si>
  <si>
    <t>Operating activities</t>
  </si>
  <si>
    <t>Depreciation &amp; amortization</t>
  </si>
  <si>
    <t>Stock-based compensation</t>
  </si>
  <si>
    <t>(Gain) / loss on investments</t>
  </si>
  <si>
    <t>Other non-cash items (incl. deferred taxes)</t>
  </si>
  <si>
    <t>Change in accounts receivable</t>
  </si>
  <si>
    <t>Change in accounts payable</t>
  </si>
  <si>
    <t>Change in other operating assets &amp; liabilities</t>
  </si>
  <si>
    <t>Total change in working capital</t>
  </si>
  <si>
    <t>Cash flow from operations</t>
  </si>
  <si>
    <t>Investing activities</t>
  </si>
  <si>
    <t>Capital expenditures</t>
  </si>
  <si>
    <t>Acquisitions, net of cash acquired</t>
  </si>
  <si>
    <t>Net (purchases) / sales of investments</t>
  </si>
  <si>
    <t>Other investing activities</t>
  </si>
  <si>
    <t>Cash flow from investing</t>
  </si>
  <si>
    <t>Financing activities</t>
  </si>
  <si>
    <t>Net debt issued / (repaid)</t>
  </si>
  <si>
    <t>Issuance of common stock</t>
  </si>
  <si>
    <t>Share repurchases</t>
  </si>
  <si>
    <t>Dividends paid</t>
  </si>
  <si>
    <t>Other financing (incl. taxes on net share settlement)</t>
  </si>
  <si>
    <t>Cash flow from financing</t>
  </si>
  <si>
    <t>Effect of exchange rates</t>
  </si>
  <si>
    <t>Net change in cash</t>
  </si>
  <si>
    <t>Beginning cash &amp; cash equivalents</t>
  </si>
  <si>
    <t>Less: change in restricted cash / reconciling items</t>
  </si>
  <si>
    <t>Ending cash &amp; cash equivalents</t>
  </si>
  <si>
    <t>Cash tie-out: CF ending cash - BS cash</t>
  </si>
  <si>
    <t>Net income tie-out: CF - IS</t>
  </si>
  <si>
    <t>Memo: free cash flow (CFO + capex)</t>
  </si>
  <si>
    <t>Stock-based compensation, % revenue</t>
  </si>
  <si>
    <t>Dividend payout, % net income</t>
  </si>
  <si>
    <t>Buybacks, % of FCF after dividends &amp; other financing</t>
  </si>
  <si>
    <t>Other financing outflow, % SBC</t>
  </si>
  <si>
    <t>Net debt issuance / (repayment), $m</t>
  </si>
  <si>
    <t>Minimum cash balance (ST investments drawn to fund), $m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</si>
</sst>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General&quot;A&quot;"/>
    <numFmt numFmtId="165" formatCode="General&quot;F&quot;"/>
    <numFmt numFmtId="166" formatCode="_([$$-409]* #,##0.00_);_([$$-409]* \(#,##0.00\);_([$$-409]* &quot;-&quot;??_);_(@_)"/>
    <numFmt numFmtId="167" formatCode="#,##0;\(#,##0\);&quot;--&quot;"/>
    <numFmt numFmtId="168" formatCode="0.0%"/>
    <numFmt numFmtId="169" formatCode="#,##0.00;\(#,##0.00\);&quot;--&quot;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0"/>
      <color theme="1"/>
      <name val="Aptos Narrow (Body)"/>
    </font>
    <font>
      <i/>
      <sz val="12"/>
      <color theme="1"/>
      <name val="Aptos Narrow"/>
      <scheme val="minor"/>
    </font>
    <font>
      <b/>
      <u/>
      <sz val="12"/>
      <color theme="1"/>
      <name val="Aptos Narrow"/>
      <scheme val="minor"/>
    </font>
    <font>
      <sz val="12"/>
      <color rgb="FF00B050"/>
      <name val="Aptos Narrow"/>
      <family val="2"/>
      <scheme val="minor"/>
    </font>
    <font>
      <sz val="12"/>
      <color theme="5" tint="-0.249977111117893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theme="1"/>
      <name val="Aptos Narrow"/>
      <scheme val="minor"/>
    </font>
    <font>
      <b/>
      <sz val="20"/>
      <color theme="1"/>
      <name val="Aptos Narrow"/>
      <scheme val="minor"/>
    </font>
    <font>
      <i/>
      <sz val="10"/>
      <color rgb="FF595959"/>
      <name val="Aptos Narrow"/>
      <scheme val="minor"/>
    </font>
    <font>
      <b/>
      <sz val="12"/>
      <color rgb="FFFFFFFF"/>
      <name val="Aptos Narrow"/>
      <scheme val="minor"/>
    </font>
    <font>
      <b/>
      <sz val="12"/>
      <color rgb="FF0000FF"/>
      <name val="Aptos Narrow"/>
      <scheme val="minor"/>
    </font>
    <font>
      <b/>
      <sz val="12"/>
      <color rgb="FF008000"/>
      <name val="Aptos Narrow"/>
      <scheme val="minor"/>
    </font>
    <font>
      <sz val="12"/>
      <color rgb="FF0000FF"/>
      <name val="Aptos Narrow"/>
      <scheme val="minor"/>
    </font>
    <font>
      <sz val="12"/>
      <color rgb="FF00800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1" applyNumberFormat="0" applyFont="0" applyAlignment="0" applyProtection="0"/>
  </cellStyleXfs>
  <cellXfs count="91">
    <xf numFmtId="0" fontId="0" fillId="0" borderId="0" xfId="0"/>
    <xf numFmtId="0" fontId="6" fillId="0" borderId="0" xfId="0" applyFont="1"/>
    <xf numFmtId="0" fontId="0" fillId="0" borderId="2" xfId="0" applyBorder="1"/>
    <xf numFmtId="164" fontId="0" fillId="0" borderId="0" xfId="0" applyNumberFormat="1"/>
    <xf numFmtId="165" fontId="0" fillId="0" borderId="0" xfId="0" applyNumberFormat="1"/>
    <xf numFmtId="164" fontId="0" fillId="0" borderId="2" xfId="0" applyNumberFormat="1" applyBorder="1"/>
    <xf numFmtId="0" fontId="4" fillId="4" borderId="0" xfId="0" applyFont="1" applyFill="1"/>
    <xf numFmtId="0" fontId="4" fillId="4" borderId="2" xfId="0" applyFont="1" applyFill="1" applyBorder="1"/>
    <xf numFmtId="14" fontId="0" fillId="0" borderId="0" xfId="0" applyNumberFormat="1"/>
    <xf numFmtId="0" fontId="5" fillId="0" borderId="0" xfId="0" applyFont="1"/>
    <xf numFmtId="166" fontId="0" fillId="0" borderId="0" xfId="0" applyNumberFormat="1"/>
    <xf numFmtId="0" fontId="7" fillId="0" borderId="0" xfId="0" applyFont="1"/>
    <xf numFmtId="167" fontId="0" fillId="0" borderId="2" xfId="0" applyNumberFormat="1" applyBorder="1"/>
    <xf numFmtId="167" fontId="0" fillId="0" borderId="0" xfId="0" applyNumberFormat="1"/>
    <xf numFmtId="9" fontId="0" fillId="0" borderId="2" xfId="1" applyFont="1" applyBorder="1"/>
    <xf numFmtId="9" fontId="0" fillId="0" borderId="0" xfId="1" applyFont="1" applyBorder="1"/>
    <xf numFmtId="9" fontId="0" fillId="0" borderId="0" xfId="1" applyFont="1"/>
    <xf numFmtId="9" fontId="0" fillId="0" borderId="0" xfId="0" applyNumberFormat="1"/>
    <xf numFmtId="9" fontId="0" fillId="0" borderId="0" xfId="1" applyFont="1" applyFill="1" applyBorder="1"/>
    <xf numFmtId="168" fontId="0" fillId="0" borderId="0" xfId="1" applyNumberFormat="1" applyFont="1"/>
    <xf numFmtId="10" fontId="0" fillId="0" borderId="0" xfId="1" applyNumberFormat="1" applyFont="1"/>
    <xf numFmtId="9" fontId="0" fillId="3" borderId="1" xfId="3" applyNumberFormat="1" applyFont="1"/>
    <xf numFmtId="0" fontId="8" fillId="0" borderId="0" xfId="0" applyFont="1"/>
    <xf numFmtId="0" fontId="0" fillId="0" borderId="3" xfId="0" applyBorder="1"/>
    <xf numFmtId="9" fontId="3" fillId="3" borderId="1" xfId="3" applyNumberFormat="1" applyFont="1"/>
    <xf numFmtId="9" fontId="9" fillId="3" borderId="1" xfId="3" applyNumberFormat="1" applyFont="1"/>
    <xf numFmtId="9" fontId="10" fillId="3" borderId="1" xfId="3" applyNumberFormat="1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7" fillId="0" borderId="7" xfId="0" applyFont="1" applyBorder="1"/>
    <xf numFmtId="167" fontId="0" fillId="0" borderId="5" xfId="0" applyNumberFormat="1" applyBorder="1"/>
    <xf numFmtId="9" fontId="0" fillId="0" borderId="8" xfId="0" applyNumberFormat="1" applyBorder="1"/>
    <xf numFmtId="167" fontId="0" fillId="0" borderId="6" xfId="0" applyNumberFormat="1" applyBorder="1"/>
    <xf numFmtId="9" fontId="0" fillId="0" borderId="9" xfId="0" applyNumberFormat="1" applyBorder="1"/>
    <xf numFmtId="0" fontId="0" fillId="5" borderId="11" xfId="0" applyFill="1" applyBorder="1"/>
    <xf numFmtId="0" fontId="0" fillId="5" borderId="12" xfId="0" applyFill="1" applyBorder="1"/>
    <xf numFmtId="0" fontId="0" fillId="5" borderId="10" xfId="0" applyFill="1" applyBorder="1"/>
    <xf numFmtId="167" fontId="0" fillId="5" borderId="12" xfId="0" applyNumberFormat="1" applyFill="1" applyBorder="1"/>
    <xf numFmtId="167" fontId="0" fillId="5" borderId="10" xfId="0" applyNumberFormat="1" applyFill="1" applyBorder="1"/>
    <xf numFmtId="9" fontId="0" fillId="0" borderId="3" xfId="0" applyNumberFormat="1" applyBorder="1"/>
    <xf numFmtId="0" fontId="6" fillId="0" borderId="8" xfId="0" applyFont="1" applyBorder="1"/>
    <xf numFmtId="10" fontId="0" fillId="3" borderId="1" xfId="3" applyNumberFormat="1" applyFont="1"/>
    <xf numFmtId="167" fontId="0" fillId="3" borderId="1" xfId="3" applyNumberFormat="1" applyFont="1"/>
    <xf numFmtId="10" fontId="0" fillId="0" borderId="0" xfId="0" applyNumberFormat="1"/>
    <xf numFmtId="9" fontId="0" fillId="3" borderId="1" xfId="1" applyFont="1" applyFill="1" applyBorder="1"/>
    <xf numFmtId="0" fontId="0" fillId="6" borderId="11" xfId="0" applyFill="1" applyBorder="1"/>
    <xf numFmtId="0" fontId="0" fillId="6" borderId="12" xfId="0" applyFill="1" applyBorder="1"/>
    <xf numFmtId="10" fontId="0" fillId="6" borderId="0" xfId="0" applyNumberFormat="1" applyFill="1"/>
    <xf numFmtId="0" fontId="0" fillId="6" borderId="0" xfId="0" applyFill="1"/>
    <xf numFmtId="0" fontId="0" fillId="5" borderId="0" xfId="0" applyFill="1"/>
    <xf numFmtId="0" fontId="0" fillId="5" borderId="2" xfId="0" applyFill="1" applyBorder="1"/>
    <xf numFmtId="0" fontId="5" fillId="0" borderId="2" xfId="0" applyFont="1" applyBorder="1"/>
    <xf numFmtId="167" fontId="5" fillId="0" borderId="0" xfId="0" applyNumberFormat="1" applyFont="1"/>
    <xf numFmtId="167" fontId="0" fillId="0" borderId="8" xfId="0" applyNumberFormat="1" applyBorder="1"/>
    <xf numFmtId="0" fontId="2" fillId="2" borderId="0" xfId="2"/>
    <xf numFmtId="2" fontId="0" fillId="0" borderId="0" xfId="0" applyNumberFormat="1"/>
    <xf numFmtId="169" fontId="0" fillId="0" borderId="0" xfId="0" applyNumberFormat="1"/>
    <xf numFmtId="166" fontId="0" fillId="5" borderId="0" xfId="0" applyNumberFormat="1" applyFill="1"/>
    <xf numFmtId="0" fontId="11" fillId="0" borderId="0" xfId="0" applyFont="1" applyAlignment="1">
      <alignment horizontal="left" vertical="center" readingOrder="1"/>
    </xf>
    <xf numFmtId="2" fontId="0" fillId="3" borderId="1" xfId="3" applyNumberFormat="1" applyFont="1"/>
    <xf numFmtId="0" fontId="0" fillId="8" borderId="0" xfId="0" applyFill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3" xfId="0" applyBorder="1"/>
    <xf numFmtId="0" fontId="0" fillId="8" borderId="13" xfId="0" applyFill="1" applyBorder="1"/>
    <xf numFmtId="0" fontId="0" fillId="8" borderId="2" xfId="0" applyFill="1" applyBorder="1"/>
    <xf numFmtId="2" fontId="0" fillId="0" borderId="2" xfId="0" applyNumberFormat="1" applyBorder="1"/>
    <xf numFmtId="0" fontId="0" fillId="0" borderId="7" xfId="0" applyBorder="1"/>
    <xf numFmtId="10" fontId="0" fillId="0" borderId="8" xfId="0" applyNumberFormat="1" applyBorder="1"/>
    <xf numFmtId="2" fontId="0" fillId="0" borderId="9" xfId="0" applyNumberFormat="1" applyBorder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3" fontId="17" fillId="0" borderId="0" xfId="0" applyNumberFormat="1" applyFont="1"/>
    <xf numFmtId="3" fontId="18" fillId="0" borderId="0" xfId="0" applyNumberFormat="1" applyFont="1"/>
    <xf numFmtId="10" fontId="7" fillId="0" borderId="0" xfId="0" applyNumberFormat="1" applyFont="1"/>
    <xf numFmtId="3" fontId="19" fillId="0" borderId="0" xfId="0" applyNumberFormat="1" applyFont="1"/>
    <xf numFmtId="3" fontId="13" fillId="0" borderId="0" xfId="0" applyNumberFormat="1" applyFont="1"/>
    <xf numFmtId="3" fontId="5" fillId="0" borderId="0" xfId="0" applyNumberFormat="1" applyFont="1"/>
    <xf numFmtId="0" fontId="19" fillId="0" borderId="0" xfId="0" applyFont="1"/>
    <xf numFmtId="3" fontId="20" fillId="0" borderId="0" xfId="0" applyNumberFormat="1" applyFont="1"/>
    <xf numFmtId="0" fontId="18" fillId="0" borderId="0" xfId="0" applyFont="1"/>
    <xf numFmtId="10" fontId="13" fillId="0" borderId="0" xfId="0" applyNumberFormat="1" applyFont="1"/>
    <xf numFmtId="10" fontId="19" fillId="0" borderId="0" xfId="0" applyNumberFormat="1" applyFont="1"/>
    <xf numFmtId="10" fontId="20" fillId="0" borderId="0" xfId="0" applyNumberFormat="1" applyFont="1"/>
    <xf numFmtId="0" fontId="20" fillId="0" borderId="0" xfId="0" applyFont="1"/>
  </cellXfs>
  <cellStyles count="4">
    <cellStyle name="Bad" xfId="2" builtinId="27"/>
    <cellStyle name="Normal" xfId="0" builtinId="0"/>
    <cellStyle name="Note" xfId="3" builtinId="1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024ED-5C5F-A147-B5EC-503B3C9296A3}">
  <dimension ref="A1:V94"/>
  <sheetViews>
    <sheetView showGridLines="0" zoomScale="140" zoomScaleNormal="140" workbookViewId="0">
      <pane ySplit="1" topLeftCell="A20" activePane="bottomLeft" state="frozen"/>
      <selection activeCell="B1" sqref="B1"/>
      <selection pane="bottomLeft" activeCell="J27" sqref="J27"/>
    </sheetView>
  </sheetViews>
  <sheetFormatPr baseColWidth="10" defaultRowHeight="16" x14ac:dyDescent="0.2"/>
  <cols>
    <col min="1" max="1" width="2.83203125" customWidth="1"/>
    <col min="2" max="2" width="26.5" bestFit="1" customWidth="1"/>
    <col min="3" max="3" width="10.83203125" customWidth="1"/>
    <col min="4" max="4" width="10.83203125" style="2"/>
    <col min="6" max="9" width="10.83203125" customWidth="1"/>
    <col min="10" max="10" width="10.83203125" style="2" customWidth="1"/>
    <col min="14" max="14" width="10.83203125" customWidth="1"/>
    <col min="22" max="22" width="10.83203125" customWidth="1"/>
  </cols>
  <sheetData>
    <row r="1" spans="1:22" x14ac:dyDescent="0.2">
      <c r="F1" s="3">
        <v>2021</v>
      </c>
      <c r="G1" s="3">
        <v>2022</v>
      </c>
      <c r="H1" s="3">
        <v>2023</v>
      </c>
      <c r="I1" s="3">
        <v>2024</v>
      </c>
      <c r="J1" s="5">
        <v>2025</v>
      </c>
      <c r="K1" s="4">
        <v>2026</v>
      </c>
      <c r="L1" s="4">
        <v>2027</v>
      </c>
      <c r="M1" s="4">
        <v>2028</v>
      </c>
      <c r="N1" s="4">
        <v>2029</v>
      </c>
      <c r="O1" s="4">
        <v>2030</v>
      </c>
    </row>
    <row r="2" spans="1:22" ht="27" x14ac:dyDescent="0.35">
      <c r="B2" s="1" t="s">
        <v>62</v>
      </c>
    </row>
    <row r="4" spans="1:22" s="6" customFormat="1" x14ac:dyDescent="0.2">
      <c r="A4" s="6" t="s">
        <v>0</v>
      </c>
      <c r="B4" s="6" t="s">
        <v>1</v>
      </c>
      <c r="D4" s="7"/>
      <c r="J4" s="7"/>
    </row>
    <row r="6" spans="1:22" x14ac:dyDescent="0.2">
      <c r="B6" t="s">
        <v>6</v>
      </c>
      <c r="C6" s="57" t="s">
        <v>61</v>
      </c>
    </row>
    <row r="7" spans="1:22" x14ac:dyDescent="0.2">
      <c r="B7" t="s">
        <v>7</v>
      </c>
      <c r="C7" s="8">
        <f ca="1">TODAY()</f>
        <v>46300</v>
      </c>
    </row>
    <row r="8" spans="1:22" x14ac:dyDescent="0.2">
      <c r="B8" t="s">
        <v>8</v>
      </c>
      <c r="C8" s="8">
        <v>46387</v>
      </c>
    </row>
    <row r="9" spans="1:22" x14ac:dyDescent="0.2">
      <c r="B9" t="s">
        <v>9</v>
      </c>
      <c r="C9" s="10">
        <v>349.78</v>
      </c>
    </row>
    <row r="10" spans="1:22" x14ac:dyDescent="0.2">
      <c r="B10" s="9" t="s">
        <v>10</v>
      </c>
      <c r="C10" s="10">
        <f ca="1">O94</f>
        <v>178.30910919732381</v>
      </c>
    </row>
    <row r="11" spans="1:22" x14ac:dyDescent="0.2">
      <c r="B11" t="s">
        <v>11</v>
      </c>
      <c r="C11" s="16">
        <f ca="1">C10/C9-1</f>
        <v>-0.49022497227593398</v>
      </c>
    </row>
    <row r="13" spans="1:22" s="6" customFormat="1" x14ac:dyDescent="0.2">
      <c r="A13" s="6" t="s">
        <v>0</v>
      </c>
      <c r="B13" s="6" t="s">
        <v>2</v>
      </c>
      <c r="D13" s="7"/>
      <c r="J13" s="7"/>
    </row>
    <row r="15" spans="1:22" x14ac:dyDescent="0.2">
      <c r="B15" s="22" t="s">
        <v>25</v>
      </c>
      <c r="L15" s="9" t="s">
        <v>27</v>
      </c>
      <c r="M15" s="9"/>
      <c r="N15" s="9"/>
      <c r="O15" s="9"/>
      <c r="P15" s="9" t="s">
        <v>28</v>
      </c>
      <c r="Q15" s="9"/>
      <c r="R15" s="9"/>
      <c r="S15" s="9"/>
      <c r="T15" s="9" t="s">
        <v>29</v>
      </c>
      <c r="U15" s="9"/>
    </row>
    <row r="16" spans="1:22" x14ac:dyDescent="0.2">
      <c r="L16" t="s">
        <v>30</v>
      </c>
      <c r="N16" s="17">
        <v>0.8</v>
      </c>
      <c r="T16" t="s">
        <v>30</v>
      </c>
      <c r="V16" s="17">
        <v>1.1000000000000001</v>
      </c>
    </row>
    <row r="17" spans="1:22" x14ac:dyDescent="0.2">
      <c r="B17" t="s">
        <v>26</v>
      </c>
      <c r="C17" s="23">
        <v>2</v>
      </c>
      <c r="L17" t="s">
        <v>31</v>
      </c>
      <c r="N17" s="17">
        <v>0.9</v>
      </c>
      <c r="T17" t="s">
        <v>31</v>
      </c>
      <c r="V17" s="17">
        <v>1.2</v>
      </c>
    </row>
    <row r="18" spans="1:22" x14ac:dyDescent="0.2">
      <c r="L18" t="s">
        <v>32</v>
      </c>
      <c r="N18" s="17">
        <v>0.8</v>
      </c>
      <c r="T18" t="s">
        <v>32</v>
      </c>
      <c r="V18" s="17">
        <v>1.1000000000000001</v>
      </c>
    </row>
    <row r="19" spans="1:22" x14ac:dyDescent="0.2">
      <c r="B19" t="s">
        <v>34</v>
      </c>
      <c r="C19" s="20">
        <f>CHOOSE(scenario,N22,R22,V22)</f>
        <v>0.10312592649939441</v>
      </c>
      <c r="L19" t="s">
        <v>33</v>
      </c>
      <c r="N19" s="17">
        <v>0.9</v>
      </c>
      <c r="T19" t="s">
        <v>33</v>
      </c>
      <c r="V19" s="17">
        <v>1.25</v>
      </c>
    </row>
    <row r="20" spans="1:22" x14ac:dyDescent="0.2">
      <c r="B20" t="s">
        <v>35</v>
      </c>
      <c r="C20" s="19">
        <f>CHOOSE(scenario,N23,R23,V23)</f>
        <v>2.5000000000000001E-2</v>
      </c>
    </row>
    <row r="22" spans="1:22" x14ac:dyDescent="0.2">
      <c r="B22" t="s">
        <v>39</v>
      </c>
      <c r="C22" s="42">
        <v>0.15</v>
      </c>
      <c r="L22" s="51" t="s">
        <v>34</v>
      </c>
      <c r="M22" s="51"/>
      <c r="N22" s="50">
        <f>R22+0.5%</f>
        <v>0.10812592649939441</v>
      </c>
      <c r="O22" s="51"/>
      <c r="P22" s="51" t="s">
        <v>34</v>
      </c>
      <c r="Q22" s="51"/>
      <c r="R22" s="50">
        <f>WACC!E19</f>
        <v>0.10312592649939441</v>
      </c>
      <c r="S22" s="51"/>
      <c r="T22" s="51" t="s">
        <v>34</v>
      </c>
      <c r="U22" s="51"/>
      <c r="V22" s="50">
        <f>R22-0.5%</f>
        <v>9.8125926499394403E-2</v>
      </c>
    </row>
    <row r="23" spans="1:22" x14ac:dyDescent="0.2">
      <c r="B23" t="s">
        <v>38</v>
      </c>
      <c r="C23" s="42">
        <v>0.18</v>
      </c>
      <c r="L23" t="s">
        <v>35</v>
      </c>
      <c r="N23" s="46">
        <f>R23-0.5%</f>
        <v>0.02</v>
      </c>
      <c r="P23" t="s">
        <v>35</v>
      </c>
      <c r="R23" s="46">
        <v>2.5000000000000001E-2</v>
      </c>
      <c r="T23" t="s">
        <v>35</v>
      </c>
      <c r="V23" s="46">
        <f>R23+0.5%</f>
        <v>3.0000000000000002E-2</v>
      </c>
    </row>
    <row r="25" spans="1:22" s="6" customFormat="1" x14ac:dyDescent="0.2">
      <c r="A25" s="6" t="s">
        <v>0</v>
      </c>
      <c r="B25" s="6" t="s">
        <v>3</v>
      </c>
      <c r="D25" s="7"/>
      <c r="J25" s="7"/>
    </row>
    <row r="27" spans="1:22" x14ac:dyDescent="0.2">
      <c r="B27" t="s">
        <v>12</v>
      </c>
      <c r="F27" s="13">
        <v>257637</v>
      </c>
      <c r="G27" s="13">
        <v>282836</v>
      </c>
      <c r="H27" s="13">
        <v>307394</v>
      </c>
      <c r="I27" s="13">
        <v>350018</v>
      </c>
      <c r="J27" s="12">
        <v>402683</v>
      </c>
      <c r="K27" s="13">
        <v>497690</v>
      </c>
      <c r="L27" s="13">
        <f>K27+(K27*L28)</f>
        <v>604420.23000132863</v>
      </c>
      <c r="M27" s="13">
        <f t="shared" ref="M27:O27" si="0">L27+(L27*M28)</f>
        <v>721053.68052367494</v>
      </c>
      <c r="N27" s="13">
        <f t="shared" si="0"/>
        <v>844702.66352081823</v>
      </c>
      <c r="O27" s="13">
        <f t="shared" si="0"/>
        <v>971408.06304894097</v>
      </c>
    </row>
    <row r="28" spans="1:22" x14ac:dyDescent="0.2">
      <c r="B28" s="11" t="s">
        <v>17</v>
      </c>
      <c r="G28" s="15">
        <f t="shared" ref="G28:I28" si="1">G27/F27-1</f>
        <v>9.7808156437157789E-2</v>
      </c>
      <c r="H28" s="15">
        <f t="shared" si="1"/>
        <v>8.6827702272695095E-2</v>
      </c>
      <c r="I28" s="15">
        <f t="shared" si="1"/>
        <v>0.13866243322901561</v>
      </c>
      <c r="J28" s="14">
        <f>J27/I27-1</f>
        <v>0.1504636904387775</v>
      </c>
      <c r="K28" s="15">
        <f>K27/J27-1</f>
        <v>0.2359349662141188</v>
      </c>
      <c r="L28" s="15">
        <f>$K$28+($O$28-$K$28)/($O$1-$K$1)</f>
        <v>0.21445122466058911</v>
      </c>
      <c r="M28" s="15">
        <f>$L$28+($O$28-$K$28)/($O$1-$K$1)</f>
        <v>0.19296748310705941</v>
      </c>
      <c r="N28" s="15">
        <f>$M$28+($O$28-$K$28)/($O$1-$K$1)</f>
        <v>0.17148374155352972</v>
      </c>
      <c r="O28" s="17">
        <v>0.15</v>
      </c>
    </row>
    <row r="30" spans="1:22" x14ac:dyDescent="0.2">
      <c r="B30" t="s">
        <v>13</v>
      </c>
      <c r="F30" s="13">
        <v>78714</v>
      </c>
      <c r="G30" s="13">
        <v>74842</v>
      </c>
      <c r="H30" s="13">
        <v>84293</v>
      </c>
      <c r="I30" s="13">
        <v>112390</v>
      </c>
      <c r="J30" s="12">
        <v>129039</v>
      </c>
      <c r="K30" s="13">
        <v>165499</v>
      </c>
      <c r="L30" s="13">
        <f t="shared" ref="L30:N30" si="2">L27*L31</f>
        <v>197585.41524768012</v>
      </c>
      <c r="M30" s="13">
        <f t="shared" si="2"/>
        <v>231650.86400523849</v>
      </c>
      <c r="N30" s="13">
        <f t="shared" si="2"/>
        <v>266616.52329520916</v>
      </c>
      <c r="O30" s="13">
        <f>O27*O31</f>
        <v>301136.49954517168</v>
      </c>
    </row>
    <row r="31" spans="1:22" x14ac:dyDescent="0.2">
      <c r="B31" s="11" t="s">
        <v>14</v>
      </c>
      <c r="F31" s="16">
        <f>F30/F27</f>
        <v>0.3055228868524319</v>
      </c>
      <c r="G31" s="16">
        <f t="shared" ref="G31:J31" si="3">G30/G27</f>
        <v>0.26461270842467011</v>
      </c>
      <c r="H31" s="16">
        <f t="shared" si="3"/>
        <v>0.27421810445226646</v>
      </c>
      <c r="I31" s="16">
        <f t="shared" si="3"/>
        <v>0.32109777211457696</v>
      </c>
      <c r="J31" s="14">
        <f t="shared" si="3"/>
        <v>0.32044809440676664</v>
      </c>
      <c r="K31" s="18">
        <f>K30/K27</f>
        <v>0.33253430850529447</v>
      </c>
      <c r="L31" s="15">
        <f>$K$31+($O$31-$K$31)/($O$1-$K$1)</f>
        <v>0.32690073137897085</v>
      </c>
      <c r="M31" s="15">
        <f>$L$31+($O$31-$K$31)/($O$1-$K$1)</f>
        <v>0.32126715425264724</v>
      </c>
      <c r="N31" s="15">
        <f>$M$31+($O$31-$K$31)/($O$1-$K$1)</f>
        <v>0.31563357712632362</v>
      </c>
      <c r="O31" s="17">
        <v>0.31</v>
      </c>
    </row>
    <row r="33" spans="1:15" x14ac:dyDescent="0.2">
      <c r="B33" t="s">
        <v>15</v>
      </c>
      <c r="F33" s="13">
        <v>14701</v>
      </c>
      <c r="G33" s="13">
        <v>11356</v>
      </c>
      <c r="H33" s="13">
        <v>11922</v>
      </c>
      <c r="I33" s="13">
        <v>19697</v>
      </c>
      <c r="J33" s="12">
        <v>26656</v>
      </c>
      <c r="K33" s="13">
        <f>K30*K34</f>
        <v>34754.79</v>
      </c>
      <c r="L33" s="13">
        <f t="shared" ref="L33:O33" si="4">L30*L34</f>
        <v>41492.937202012821</v>
      </c>
      <c r="M33" s="13">
        <f t="shared" si="4"/>
        <v>48646.681441100081</v>
      </c>
      <c r="N33" s="13">
        <f t="shared" si="4"/>
        <v>55989.469891993918</v>
      </c>
      <c r="O33" s="13">
        <f t="shared" si="4"/>
        <v>63238.664904486053</v>
      </c>
    </row>
    <row r="34" spans="1:15" x14ac:dyDescent="0.2">
      <c r="B34" s="11" t="s">
        <v>16</v>
      </c>
      <c r="F34" s="16">
        <f>F33/F30</f>
        <v>0.18676474324770689</v>
      </c>
      <c r="G34" s="16">
        <f t="shared" ref="G34:J34" si="5">G33/G30</f>
        <v>0.15173298415328293</v>
      </c>
      <c r="H34" s="16">
        <f t="shared" si="5"/>
        <v>0.14143523186978751</v>
      </c>
      <c r="I34" s="16">
        <f t="shared" si="5"/>
        <v>0.17525580567666163</v>
      </c>
      <c r="J34" s="14">
        <f t="shared" si="5"/>
        <v>0.20657320654995776</v>
      </c>
      <c r="K34" s="17">
        <v>0.21</v>
      </c>
      <c r="L34" s="17">
        <v>0.21</v>
      </c>
      <c r="M34" s="17">
        <v>0.21</v>
      </c>
      <c r="N34" s="17">
        <v>0.21</v>
      </c>
      <c r="O34" s="17">
        <v>0.21</v>
      </c>
    </row>
    <row r="36" spans="1:15" s="6" customFormat="1" x14ac:dyDescent="0.2">
      <c r="A36" s="6" t="s">
        <v>0</v>
      </c>
      <c r="B36" s="6" t="s">
        <v>4</v>
      </c>
      <c r="D36" s="7"/>
      <c r="J36" s="7"/>
    </row>
    <row r="38" spans="1:15" x14ac:dyDescent="0.2">
      <c r="B38" t="s">
        <v>18</v>
      </c>
      <c r="F38" s="13">
        <f>(11555+886)</f>
        <v>12441</v>
      </c>
      <c r="G38" s="13">
        <v>13475</v>
      </c>
      <c r="H38" s="13">
        <v>11946</v>
      </c>
      <c r="I38" s="13">
        <v>15311</v>
      </c>
      <c r="J38" s="12">
        <v>21136</v>
      </c>
      <c r="K38" s="13">
        <f>K68</f>
        <v>30959</v>
      </c>
      <c r="L38" s="13">
        <f>L27*L39</f>
        <v>44820.202923236924</v>
      </c>
      <c r="M38" s="13">
        <f t="shared" ref="M38:N38" si="6">M27*M39</f>
        <v>62084.664734989165</v>
      </c>
      <c r="N38" s="13">
        <f t="shared" si="6"/>
        <v>82824.234162065797</v>
      </c>
      <c r="O38" s="13">
        <f t="shared" ref="O38" si="7">O27*O39</f>
        <v>106854.8869353835</v>
      </c>
    </row>
    <row r="39" spans="1:15" x14ac:dyDescent="0.2">
      <c r="B39" s="11" t="s">
        <v>14</v>
      </c>
      <c r="F39" s="16">
        <f>F38/F27</f>
        <v>4.8288871551834561E-2</v>
      </c>
      <c r="G39" s="16">
        <f t="shared" ref="G39:J39" si="8">G38/G27</f>
        <v>4.764245004172029E-2</v>
      </c>
      <c r="H39" s="16">
        <f t="shared" si="8"/>
        <v>3.8862176880485634E-2</v>
      </c>
      <c r="I39" s="16">
        <f t="shared" si="8"/>
        <v>4.3743464621819446E-2</v>
      </c>
      <c r="J39" s="14">
        <f t="shared" si="8"/>
        <v>5.2487937161489313E-2</v>
      </c>
      <c r="K39" s="17">
        <f>K38/K27</f>
        <v>6.2205388896702768E-2</v>
      </c>
      <c r="L39" s="16">
        <f>$K$39+($O$39-$K$39)/($O$1-$K$1)</f>
        <v>7.415404167252708E-2</v>
      </c>
      <c r="M39" s="16">
        <f>$L$39+($O$39-$K$39)/($O$1-$K$1)</f>
        <v>8.6102694448351391E-2</v>
      </c>
      <c r="N39" s="16">
        <f>$M$39+($O$39-$K$39)/($O$1-$K$1)</f>
        <v>9.8051347224175703E-2</v>
      </c>
      <c r="O39" s="17">
        <v>0.11</v>
      </c>
    </row>
    <row r="40" spans="1:15" x14ac:dyDescent="0.2">
      <c r="B40" s="11" t="s">
        <v>19</v>
      </c>
      <c r="F40" s="16">
        <f>F38/F42</f>
        <v>0.50491071428571432</v>
      </c>
      <c r="G40" s="16">
        <f t="shared" ref="G40:J40" si="9">G38/G42</f>
        <v>0.42798157852945845</v>
      </c>
      <c r="H40" s="16">
        <f t="shared" si="9"/>
        <v>0.37040711915909585</v>
      </c>
      <c r="I40" s="16">
        <f t="shared" si="9"/>
        <v>0.29144379937184733</v>
      </c>
      <c r="J40" s="14">
        <f t="shared" si="9"/>
        <v>0.23112841317921856</v>
      </c>
      <c r="K40" s="18">
        <f>K38/K42</f>
        <v>0.15876410256410256</v>
      </c>
      <c r="L40" s="18">
        <f t="shared" ref="L40:O40" si="10">L38/L42</f>
        <v>0.21883539519603334</v>
      </c>
      <c r="M40" s="18">
        <f t="shared" si="10"/>
        <v>0.3011583215090648</v>
      </c>
      <c r="N40" s="18">
        <f t="shared" si="10"/>
        <v>0.42090696634369273</v>
      </c>
      <c r="O40" s="18">
        <f t="shared" si="10"/>
        <v>0.61111111111111105</v>
      </c>
    </row>
    <row r="42" spans="1:15" x14ac:dyDescent="0.2">
      <c r="B42" t="s">
        <v>20</v>
      </c>
      <c r="F42" s="13">
        <v>24640</v>
      </c>
      <c r="G42" s="13">
        <v>31485</v>
      </c>
      <c r="H42" s="13">
        <v>32251</v>
      </c>
      <c r="I42" s="13">
        <v>52535</v>
      </c>
      <c r="J42" s="12">
        <v>91447</v>
      </c>
      <c r="K42" s="13">
        <v>195000</v>
      </c>
      <c r="L42" s="13">
        <f>L27*L43</f>
        <v>204812.40195667098</v>
      </c>
      <c r="M42" s="13">
        <f t="shared" ref="M42:O42" si="11">M27*M43</f>
        <v>206152.91127899458</v>
      </c>
      <c r="N42" s="13">
        <f t="shared" si="11"/>
        <v>196775.63163550835</v>
      </c>
      <c r="O42" s="13">
        <f t="shared" si="11"/>
        <v>174853.45134880938</v>
      </c>
    </row>
    <row r="43" spans="1:15" x14ac:dyDescent="0.2">
      <c r="B43" s="11" t="s">
        <v>14</v>
      </c>
      <c r="F43" s="16">
        <f>F42/F27</f>
        <v>9.5638437025737766E-2</v>
      </c>
      <c r="G43" s="16">
        <f t="shared" ref="G43:J43" si="12">G42/G27</f>
        <v>0.11131892686928113</v>
      </c>
      <c r="H43" s="16">
        <f t="shared" si="12"/>
        <v>0.10491746748472644</v>
      </c>
      <c r="I43" s="16">
        <f t="shared" si="12"/>
        <v>0.15009228096840735</v>
      </c>
      <c r="J43" s="14">
        <f t="shared" si="12"/>
        <v>0.22709426521606327</v>
      </c>
      <c r="K43" s="17">
        <f>K42/K27</f>
        <v>0.39181016295284216</v>
      </c>
      <c r="L43" s="15">
        <f>$K$43+($O$43-$K$43)/($O$1-$K$1)</f>
        <v>0.33885762221463162</v>
      </c>
      <c r="M43" s="15">
        <f>$L$43+($O$43-$K$43)/($O$1-$K$1)</f>
        <v>0.28590508147642107</v>
      </c>
      <c r="N43" s="15">
        <f>$M$43+($O$43-$K$43)/($O$1-$K$1)</f>
        <v>0.23295254073821053</v>
      </c>
      <c r="O43" s="17">
        <f>C23</f>
        <v>0.18</v>
      </c>
    </row>
    <row r="45" spans="1:15" x14ac:dyDescent="0.2">
      <c r="B45" t="s">
        <v>21</v>
      </c>
      <c r="F45" s="13">
        <v>-1523</v>
      </c>
      <c r="G45" s="13">
        <v>-2235</v>
      </c>
      <c r="H45" s="13">
        <v>-3845</v>
      </c>
      <c r="I45" s="13">
        <f>(-5891-2418-1397+359-1161+1059+1043)</f>
        <v>-8406</v>
      </c>
      <c r="J45" s="12">
        <f>(-8779-3226-4542+907+12939+899+2420)</f>
        <v>618</v>
      </c>
      <c r="K45" s="13">
        <f>K27*K46</f>
        <v>-4857.7632148270814</v>
      </c>
      <c r="L45" s="13">
        <f t="shared" ref="L45:O45" si="13">L27*L46</f>
        <v>-6364.8236566462974</v>
      </c>
      <c r="M45" s="13">
        <f t="shared" si="13"/>
        <v>-7972.0646934974147</v>
      </c>
      <c r="N45" s="13">
        <f t="shared" si="13"/>
        <v>-9093.8011581393366</v>
      </c>
      <c r="O45" s="13">
        <f t="shared" si="13"/>
        <v>-7883.5963116302264</v>
      </c>
    </row>
    <row r="46" spans="1:15" x14ac:dyDescent="0.2">
      <c r="B46" s="11" t="s">
        <v>14</v>
      </c>
      <c r="F46" s="16">
        <f>F45/F27</f>
        <v>-5.9114180028489701E-3</v>
      </c>
      <c r="G46" s="16">
        <f t="shared" ref="G46:J46" si="14">G45/G27</f>
        <v>-7.9021058139699327E-3</v>
      </c>
      <c r="H46" s="16">
        <f t="shared" si="14"/>
        <v>-1.25083768713768E-2</v>
      </c>
      <c r="I46" s="16">
        <f t="shared" si="14"/>
        <v>-2.4015907753315545E-2</v>
      </c>
      <c r="J46" s="14">
        <f t="shared" si="14"/>
        <v>1.5347059597748105E-3</v>
      </c>
      <c r="K46" s="17">
        <f>AVERAGE(F46:J46)</f>
        <v>-9.7606204963472873E-3</v>
      </c>
      <c r="L46" s="17">
        <f t="shared" ref="L46:O46" si="15">AVERAGE(G46:K46)</f>
        <v>-1.053046099504695E-2</v>
      </c>
      <c r="M46" s="17">
        <f t="shared" si="15"/>
        <v>-1.1056132031262354E-2</v>
      </c>
      <c r="N46" s="17">
        <f t="shared" si="15"/>
        <v>-1.0765683063239464E-2</v>
      </c>
      <c r="O46" s="17">
        <f t="shared" si="15"/>
        <v>-8.115638125224249E-3</v>
      </c>
    </row>
    <row r="48" spans="1:15" s="6" customFormat="1" x14ac:dyDescent="0.2">
      <c r="A48" s="6" t="s">
        <v>0</v>
      </c>
      <c r="B48" s="6" t="s">
        <v>5</v>
      </c>
      <c r="D48" s="7"/>
      <c r="J48" s="7"/>
    </row>
    <row r="50" spans="2:15" x14ac:dyDescent="0.2">
      <c r="B50" t="s">
        <v>12</v>
      </c>
      <c r="F50" s="13">
        <v>257637</v>
      </c>
      <c r="G50" s="13">
        <v>282836</v>
      </c>
      <c r="H50" s="13">
        <v>307394</v>
      </c>
      <c r="I50" s="13">
        <v>350018</v>
      </c>
      <c r="J50" s="12">
        <v>402683</v>
      </c>
      <c r="K50" s="13">
        <f>J50+(J50*K51)</f>
        <v>497690</v>
      </c>
      <c r="L50" s="13">
        <f t="shared" ref="L50:O50" si="16">K50+(K50*L51)</f>
        <v>604420.23000132863</v>
      </c>
      <c r="M50" s="13">
        <f t="shared" si="16"/>
        <v>721053.68052367494</v>
      </c>
      <c r="N50" s="13">
        <f t="shared" si="16"/>
        <v>844702.66352081823</v>
      </c>
      <c r="O50" s="13">
        <f t="shared" si="16"/>
        <v>971408.06304894097</v>
      </c>
    </row>
    <row r="51" spans="2:15" x14ac:dyDescent="0.2">
      <c r="B51" s="11" t="s">
        <v>17</v>
      </c>
      <c r="G51" s="15">
        <f t="shared" ref="G51" si="17">G50/F50-1</f>
        <v>9.7808156437157789E-2</v>
      </c>
      <c r="H51" s="15">
        <f t="shared" ref="H51" si="18">H50/G50-1</f>
        <v>8.6827702272695095E-2</v>
      </c>
      <c r="I51" s="15">
        <f t="shared" ref="I51" si="19">I50/H50-1</f>
        <v>0.13866243322901561</v>
      </c>
      <c r="J51" s="14">
        <f>J50/I50-1</f>
        <v>0.1504636904387775</v>
      </c>
      <c r="K51" s="15">
        <f>CHOOSE(scenario,K52,K53,K54)</f>
        <v>0.2359349662141188</v>
      </c>
      <c r="L51" s="15">
        <f>CHOOSE(scenario,L52,L53,L54)</f>
        <v>0.21445122466058911</v>
      </c>
      <c r="M51" s="15">
        <f>CHOOSE(scenario,M52,M53,M54)</f>
        <v>0.19296748310705941</v>
      </c>
      <c r="N51" s="15">
        <f>CHOOSE(scenario,N52,N53,N54)</f>
        <v>0.17148374155352972</v>
      </c>
      <c r="O51" s="15">
        <f>CHOOSE(scenario,O52,O53,O54)</f>
        <v>0.15</v>
      </c>
    </row>
    <row r="52" spans="2:15" x14ac:dyDescent="0.2">
      <c r="B52" s="11" t="s">
        <v>22</v>
      </c>
      <c r="G52" s="15"/>
      <c r="H52" s="15"/>
      <c r="I52" s="15"/>
      <c r="J52" s="14"/>
      <c r="K52" s="24">
        <f>K53*N16</f>
        <v>0.18874797297129506</v>
      </c>
      <c r="L52" s="24">
        <f>$K$52+($O$52-$K$52)/($O$1-$K$1)</f>
        <v>0.17531097972847129</v>
      </c>
      <c r="M52" s="24">
        <f>$L$52+($O$52-$K$52)/($O$1-$K$1)</f>
        <v>0.16187398648564752</v>
      </c>
      <c r="N52" s="24">
        <f>$M$52+($O$52-$K$52)/($O$1-$K$1)</f>
        <v>0.14843699324282375</v>
      </c>
      <c r="O52" s="24">
        <f>O53*N17</f>
        <v>0.13500000000000001</v>
      </c>
    </row>
    <row r="53" spans="2:15" x14ac:dyDescent="0.2">
      <c r="B53" s="11" t="s">
        <v>23</v>
      </c>
      <c r="G53" s="15"/>
      <c r="H53" s="15"/>
      <c r="I53" s="15"/>
      <c r="J53" s="14"/>
      <c r="K53" s="26">
        <f>K28</f>
        <v>0.2359349662141188</v>
      </c>
      <c r="L53" s="26">
        <f t="shared" ref="L53:O53" si="20">L28</f>
        <v>0.21445122466058911</v>
      </c>
      <c r="M53" s="26">
        <f t="shared" si="20"/>
        <v>0.19296748310705941</v>
      </c>
      <c r="N53" s="26">
        <f t="shared" si="20"/>
        <v>0.17148374155352972</v>
      </c>
      <c r="O53" s="26">
        <f t="shared" si="20"/>
        <v>0.15</v>
      </c>
    </row>
    <row r="54" spans="2:15" x14ac:dyDescent="0.2">
      <c r="B54" s="11" t="s">
        <v>24</v>
      </c>
      <c r="G54" s="15"/>
      <c r="H54" s="15"/>
      <c r="I54" s="15"/>
      <c r="J54" s="14"/>
      <c r="K54" s="25">
        <f>K53*V16</f>
        <v>0.25952846283553072</v>
      </c>
      <c r="L54" s="25">
        <f>$K$54+($O$54-$K$54)/($O$1-$K$1)</f>
        <v>0.24152134712664802</v>
      </c>
      <c r="M54" s="25">
        <f>$L$54+($O$54-$K$54)/($O$1-$K$1)</f>
        <v>0.22351423141776533</v>
      </c>
      <c r="N54" s="25">
        <f>$M$54+($O$54-$K$54)/($O$1-$K$1)</f>
        <v>0.20550711570888264</v>
      </c>
      <c r="O54" s="25">
        <f>O53*V19</f>
        <v>0.1875</v>
      </c>
    </row>
    <row r="56" spans="2:15" x14ac:dyDescent="0.2">
      <c r="B56" t="s">
        <v>13</v>
      </c>
      <c r="F56" s="13">
        <v>78714</v>
      </c>
      <c r="G56" s="13">
        <v>74842</v>
      </c>
      <c r="H56" s="13">
        <v>84293</v>
      </c>
      <c r="I56" s="13">
        <v>112390</v>
      </c>
      <c r="J56" s="12">
        <v>129039</v>
      </c>
      <c r="K56" s="13">
        <f>K50*K57</f>
        <v>165499</v>
      </c>
      <c r="L56" s="13">
        <f t="shared" ref="L56:O56" si="21">L50*L57</f>
        <v>197585.41524768012</v>
      </c>
      <c r="M56" s="13">
        <f t="shared" si="21"/>
        <v>231650.86400523849</v>
      </c>
      <c r="N56" s="13">
        <f t="shared" si="21"/>
        <v>266616.52329520916</v>
      </c>
      <c r="O56" s="13">
        <f t="shared" si="21"/>
        <v>301136.49954517168</v>
      </c>
    </row>
    <row r="57" spans="2:15" x14ac:dyDescent="0.2">
      <c r="B57" s="11" t="s">
        <v>14</v>
      </c>
      <c r="F57" s="16">
        <f>F56/F50</f>
        <v>0.3055228868524319</v>
      </c>
      <c r="G57" s="16">
        <f t="shared" ref="G57" si="22">G56/G50</f>
        <v>0.26461270842467011</v>
      </c>
      <c r="H57" s="16">
        <f t="shared" ref="H57" si="23">H56/H50</f>
        <v>0.27421810445226646</v>
      </c>
      <c r="I57" s="16">
        <f t="shared" ref="I57" si="24">I56/I50</f>
        <v>0.32109777211457696</v>
      </c>
      <c r="J57" s="14">
        <f t="shared" ref="J57" si="25">J56/J50</f>
        <v>0.32044809440676664</v>
      </c>
      <c r="K57" s="18">
        <f>CHOOSE(scenario,K58,K59,K60)</f>
        <v>0.33253430850529447</v>
      </c>
      <c r="L57" s="18">
        <f>CHOOSE(scenario,L58,L59,L60)</f>
        <v>0.32690073137897085</v>
      </c>
      <c r="M57" s="18">
        <f>CHOOSE(scenario,M58,M59,M60)</f>
        <v>0.32126715425264724</v>
      </c>
      <c r="N57" s="18">
        <f>CHOOSE(scenario,N58,N59,N60)</f>
        <v>0.31563357712632362</v>
      </c>
      <c r="O57" s="18">
        <f>CHOOSE(scenario,O58,O59,O60)</f>
        <v>0.31</v>
      </c>
    </row>
    <row r="58" spans="2:15" x14ac:dyDescent="0.2">
      <c r="B58" s="11" t="s">
        <v>22</v>
      </c>
      <c r="G58" s="15"/>
      <c r="H58" s="15"/>
      <c r="I58" s="15"/>
      <c r="J58" s="14"/>
      <c r="K58" s="24">
        <f>K59*N18</f>
        <v>0.26602744680423557</v>
      </c>
      <c r="L58" s="24">
        <f>$K$58+($O$58-$K$58)/($O$1-$K$1)</f>
        <v>0.2692705851031767</v>
      </c>
      <c r="M58" s="24">
        <f>$L$58+($O$58-$K$58)/($O$1-$K$1)</f>
        <v>0.27251372340211782</v>
      </c>
      <c r="N58" s="24">
        <f>$M$58+($O$58-$K$58)/($O$1-$K$1)</f>
        <v>0.27575686170105895</v>
      </c>
      <c r="O58" s="24">
        <f>O59*N19</f>
        <v>0.27900000000000003</v>
      </c>
    </row>
    <row r="59" spans="2:15" x14ac:dyDescent="0.2">
      <c r="B59" s="11" t="s">
        <v>23</v>
      </c>
      <c r="G59" s="15"/>
      <c r="H59" s="15"/>
      <c r="I59" s="15"/>
      <c r="J59" s="14"/>
      <c r="K59" s="26">
        <f>K31</f>
        <v>0.33253430850529447</v>
      </c>
      <c r="L59" s="26">
        <f t="shared" ref="L59:O59" si="26">L31</f>
        <v>0.32690073137897085</v>
      </c>
      <c r="M59" s="26">
        <f t="shared" si="26"/>
        <v>0.32126715425264724</v>
      </c>
      <c r="N59" s="26">
        <f t="shared" si="26"/>
        <v>0.31563357712632362</v>
      </c>
      <c r="O59" s="26">
        <f t="shared" si="26"/>
        <v>0.31</v>
      </c>
    </row>
    <row r="60" spans="2:15" x14ac:dyDescent="0.2">
      <c r="B60" s="11" t="s">
        <v>24</v>
      </c>
      <c r="G60" s="15"/>
      <c r="H60" s="15"/>
      <c r="I60" s="15"/>
      <c r="J60" s="14"/>
      <c r="K60" s="25">
        <f>K59*V18</f>
        <v>0.36578773935582393</v>
      </c>
      <c r="L60" s="25">
        <f>$K$60+($O$60-$K$60)/($O$1-$K$1)</f>
        <v>0.37121580451686798</v>
      </c>
      <c r="M60" s="25">
        <f>$L$60+($O$60-$K$60)/($O$1-$K$1)</f>
        <v>0.37664386967791197</v>
      </c>
      <c r="N60" s="25">
        <f>$M$60+($O$60-$K$60)/($O$1-$K$1)</f>
        <v>0.38207193483895596</v>
      </c>
      <c r="O60" s="25">
        <f>O59*V19</f>
        <v>0.38750000000000001</v>
      </c>
    </row>
    <row r="62" spans="2:15" x14ac:dyDescent="0.2">
      <c r="B62" t="s">
        <v>15</v>
      </c>
      <c r="F62" s="13">
        <v>14701</v>
      </c>
      <c r="G62" s="13">
        <v>11356</v>
      </c>
      <c r="H62" s="13">
        <v>11922</v>
      </c>
      <c r="I62" s="13">
        <v>19697</v>
      </c>
      <c r="J62" s="12">
        <v>26656</v>
      </c>
      <c r="K62" s="13">
        <f>K56*K63</f>
        <v>34754.79</v>
      </c>
      <c r="L62" s="13">
        <f t="shared" ref="L62:O62" si="27">L56*L63</f>
        <v>41492.937202012821</v>
      </c>
      <c r="M62" s="13">
        <f t="shared" si="27"/>
        <v>48646.681441100081</v>
      </c>
      <c r="N62" s="13">
        <f t="shared" si="27"/>
        <v>55989.469891993918</v>
      </c>
      <c r="O62" s="13">
        <f t="shared" si="27"/>
        <v>63238.664904486053</v>
      </c>
    </row>
    <row r="63" spans="2:15" x14ac:dyDescent="0.2">
      <c r="B63" s="11" t="s">
        <v>16</v>
      </c>
      <c r="F63" s="16">
        <f>F62/F56</f>
        <v>0.18676474324770689</v>
      </c>
      <c r="G63" s="16">
        <f>G62/G56</f>
        <v>0.15173298415328293</v>
      </c>
      <c r="H63" s="16">
        <f>H62/H56</f>
        <v>0.14143523186978751</v>
      </c>
      <c r="I63" s="16">
        <f>I62/I56</f>
        <v>0.17525580567666163</v>
      </c>
      <c r="J63" s="14">
        <f>J62/J56</f>
        <v>0.20657320654995776</v>
      </c>
      <c r="K63" s="17">
        <f>K34</f>
        <v>0.21</v>
      </c>
      <c r="L63" s="17">
        <f t="shared" ref="L63:O63" si="28">L34</f>
        <v>0.21</v>
      </c>
      <c r="M63" s="17">
        <f t="shared" si="28"/>
        <v>0.21</v>
      </c>
      <c r="N63" s="17">
        <f t="shared" si="28"/>
        <v>0.21</v>
      </c>
      <c r="O63" s="17">
        <f t="shared" si="28"/>
        <v>0.21</v>
      </c>
    </row>
    <row r="65" spans="2:15" x14ac:dyDescent="0.2">
      <c r="B65" s="27" t="s">
        <v>36</v>
      </c>
      <c r="C65" s="28"/>
      <c r="D65" s="29"/>
      <c r="E65" s="28"/>
      <c r="F65" s="28"/>
      <c r="G65" s="28"/>
      <c r="H65" s="28"/>
      <c r="I65" s="28"/>
      <c r="J65" s="35"/>
      <c r="K65" s="33">
        <f>K56-K62</f>
        <v>130744.20999999999</v>
      </c>
      <c r="L65" s="33">
        <f t="shared" ref="L65:O65" si="29">L56-L62</f>
        <v>156092.47804566729</v>
      </c>
      <c r="M65" s="33">
        <f t="shared" si="29"/>
        <v>183004.18256413841</v>
      </c>
      <c r="N65" s="33">
        <f t="shared" si="29"/>
        <v>210627.05340321525</v>
      </c>
      <c r="O65" s="35">
        <f t="shared" si="29"/>
        <v>237897.83464068564</v>
      </c>
    </row>
    <row r="66" spans="2:15" x14ac:dyDescent="0.2">
      <c r="B66" s="32" t="s">
        <v>14</v>
      </c>
      <c r="C66" s="30"/>
      <c r="D66" s="31"/>
      <c r="E66" s="30"/>
      <c r="F66" s="30"/>
      <c r="G66" s="30"/>
      <c r="H66" s="30"/>
      <c r="I66" s="30"/>
      <c r="J66" s="31"/>
      <c r="K66" s="34">
        <f>K65/K50</f>
        <v>0.26270210371918262</v>
      </c>
      <c r="L66" s="34">
        <f t="shared" ref="L66:O66" si="30">L65/L50</f>
        <v>0.25825157778938695</v>
      </c>
      <c r="M66" s="34">
        <f t="shared" si="30"/>
        <v>0.25380105185959129</v>
      </c>
      <c r="N66" s="34">
        <f t="shared" si="30"/>
        <v>0.24935052592979567</v>
      </c>
      <c r="O66" s="36">
        <f t="shared" si="30"/>
        <v>0.24490000000000001</v>
      </c>
    </row>
    <row r="68" spans="2:15" x14ac:dyDescent="0.2">
      <c r="B68" t="s">
        <v>18</v>
      </c>
      <c r="F68" s="13">
        <f>(11555+886)</f>
        <v>12441</v>
      </c>
      <c r="G68" s="13">
        <v>13475</v>
      </c>
      <c r="H68" s="13">
        <v>11946</v>
      </c>
      <c r="I68" s="13">
        <v>15311</v>
      </c>
      <c r="J68" s="12">
        <v>21136</v>
      </c>
      <c r="K68" s="13">
        <v>30959</v>
      </c>
      <c r="L68" s="13">
        <f t="shared" ref="L68:O68" si="31">L50*L69</f>
        <v>50864.405223250207</v>
      </c>
      <c r="M68" s="13">
        <f t="shared" si="31"/>
        <v>76505.738345462654</v>
      </c>
      <c r="N68" s="13">
        <f t="shared" si="31"/>
        <v>108165.31406769034</v>
      </c>
      <c r="O68" s="13">
        <f t="shared" si="31"/>
        <v>145711.20945734115</v>
      </c>
    </row>
    <row r="69" spans="2:15" x14ac:dyDescent="0.2">
      <c r="B69" s="11" t="s">
        <v>14</v>
      </c>
      <c r="F69" s="16">
        <f>F68/F50</f>
        <v>4.8288871551834561E-2</v>
      </c>
      <c r="G69" s="16">
        <f t="shared" ref="G69:J69" si="32">G68/G50</f>
        <v>4.764245004172029E-2</v>
      </c>
      <c r="H69" s="16">
        <f t="shared" si="32"/>
        <v>3.8862176880485634E-2</v>
      </c>
      <c r="I69" s="16">
        <f t="shared" si="32"/>
        <v>4.3743464621819446E-2</v>
      </c>
      <c r="J69" s="14">
        <f t="shared" si="32"/>
        <v>5.2487937161489313E-2</v>
      </c>
      <c r="K69" s="16">
        <f>K68/K50</f>
        <v>6.2205388896702768E-2</v>
      </c>
      <c r="L69" s="16">
        <f>$K$69+($O$69-$K$69)/($O$1-$K$1)</f>
        <v>8.4154041672527075E-2</v>
      </c>
      <c r="M69" s="16">
        <f>$L$69+($O$69-$K$69)/($O$1-$K$1)</f>
        <v>0.10610269444835138</v>
      </c>
      <c r="N69" s="16">
        <f>$M$69+($O$69-$K$69)/($O$1-$K$1)</f>
        <v>0.12805134722417569</v>
      </c>
      <c r="O69" s="21">
        <f>C22</f>
        <v>0.15</v>
      </c>
    </row>
    <row r="70" spans="2:15" x14ac:dyDescent="0.2">
      <c r="B70" s="11" t="s">
        <v>19</v>
      </c>
      <c r="F70" s="16">
        <f>F68/F72</f>
        <v>0.50491071428571432</v>
      </c>
      <c r="G70" s="16">
        <f t="shared" ref="G70:J70" si="33">G68/G72</f>
        <v>0.42798157852945845</v>
      </c>
      <c r="H70" s="16">
        <f t="shared" si="33"/>
        <v>0.37040711915909585</v>
      </c>
      <c r="I70" s="16">
        <f t="shared" si="33"/>
        <v>0.29144379937184733</v>
      </c>
      <c r="J70" s="14">
        <f t="shared" si="33"/>
        <v>0.23112841317921856</v>
      </c>
      <c r="K70" s="18">
        <f>K68/K72</f>
        <v>0.15876410256410256</v>
      </c>
      <c r="L70" s="18">
        <f t="shared" ref="L70:O70" si="34">L68/L72</f>
        <v>0.24834631466316581</v>
      </c>
      <c r="M70" s="18">
        <f t="shared" si="34"/>
        <v>0.37111160774210228</v>
      </c>
      <c r="N70" s="18">
        <f t="shared" si="34"/>
        <v>0.5496885623929656</v>
      </c>
      <c r="O70" s="18">
        <f t="shared" si="34"/>
        <v>0.83333333333333326</v>
      </c>
    </row>
    <row r="72" spans="2:15" x14ac:dyDescent="0.2">
      <c r="B72" t="s">
        <v>20</v>
      </c>
      <c r="F72" s="13">
        <v>24640</v>
      </c>
      <c r="G72" s="13">
        <v>31485</v>
      </c>
      <c r="H72" s="13">
        <v>32251</v>
      </c>
      <c r="I72" s="13">
        <v>52535</v>
      </c>
      <c r="J72" s="12">
        <v>91447</v>
      </c>
      <c r="K72" s="13">
        <v>195000</v>
      </c>
      <c r="L72" s="13">
        <f>L73*L50</f>
        <v>204812.40195667098</v>
      </c>
      <c r="M72" s="13">
        <f t="shared" ref="M72:O72" si="35">M73*M50</f>
        <v>206152.91127899458</v>
      </c>
      <c r="N72" s="13">
        <f t="shared" si="35"/>
        <v>196775.63163550835</v>
      </c>
      <c r="O72" s="13">
        <f t="shared" si="35"/>
        <v>174853.45134880938</v>
      </c>
    </row>
    <row r="73" spans="2:15" x14ac:dyDescent="0.2">
      <c r="B73" s="11" t="s">
        <v>14</v>
      </c>
      <c r="F73" s="16">
        <f>F72/F50</f>
        <v>9.5638437025737766E-2</v>
      </c>
      <c r="G73" s="16">
        <f t="shared" ref="G73:J73" si="36">G72/G50</f>
        <v>0.11131892686928113</v>
      </c>
      <c r="H73" s="16">
        <f t="shared" si="36"/>
        <v>0.10491746748472644</v>
      </c>
      <c r="I73" s="16">
        <f t="shared" si="36"/>
        <v>0.15009228096840735</v>
      </c>
      <c r="J73" s="14">
        <f t="shared" si="36"/>
        <v>0.22709426521606327</v>
      </c>
      <c r="K73" s="16">
        <f t="shared" ref="K73" si="37">K72/K50</f>
        <v>0.39181016295284216</v>
      </c>
      <c r="L73" s="15">
        <f>$K$73+($O$73-$K$73)/($O$1-$K$1)</f>
        <v>0.33885762221463162</v>
      </c>
      <c r="M73" s="15">
        <f>$L$73+($O$73-$K$73)/($O$1-$K$1)</f>
        <v>0.28590508147642107</v>
      </c>
      <c r="N73" s="15">
        <f>$M$73+($O$73-$K$73)/($O$1-$K$1)</f>
        <v>0.23295254073821053</v>
      </c>
      <c r="O73" s="21">
        <f>C23</f>
        <v>0.18</v>
      </c>
    </row>
    <row r="75" spans="2:15" x14ac:dyDescent="0.2">
      <c r="B75" t="s">
        <v>21</v>
      </c>
      <c r="F75" s="13">
        <v>-1523</v>
      </c>
      <c r="G75" s="13">
        <v>-2235</v>
      </c>
      <c r="H75" s="13">
        <v>-3845</v>
      </c>
      <c r="I75" s="13">
        <f>(-5891-2418-1397+359-1161+1059+1043)</f>
        <v>-8406</v>
      </c>
      <c r="J75" s="12">
        <f>(-8779-3226-4542+907+12939+899+2420)</f>
        <v>618</v>
      </c>
      <c r="K75" s="13">
        <f>K50*K76</f>
        <v>-4857.7632148270814</v>
      </c>
      <c r="L75" s="13">
        <f t="shared" ref="L75:O75" si="38">L50*L76</f>
        <v>-6364.8236566462974</v>
      </c>
      <c r="M75" s="13">
        <f t="shared" si="38"/>
        <v>-7972.0646934974147</v>
      </c>
      <c r="N75" s="13">
        <f t="shared" si="38"/>
        <v>-9093.8011581393366</v>
      </c>
      <c r="O75" s="13">
        <f t="shared" si="38"/>
        <v>-7883.5963116302264</v>
      </c>
    </row>
    <row r="76" spans="2:15" x14ac:dyDescent="0.2">
      <c r="B76" s="11" t="s">
        <v>14</v>
      </c>
      <c r="F76" s="16">
        <f>F75/F50</f>
        <v>-5.9114180028489701E-3</v>
      </c>
      <c r="G76" s="16">
        <f t="shared" ref="G76:J76" si="39">G75/G50</f>
        <v>-7.9021058139699327E-3</v>
      </c>
      <c r="H76" s="16">
        <f t="shared" si="39"/>
        <v>-1.25083768713768E-2</v>
      </c>
      <c r="I76" s="16">
        <f t="shared" si="39"/>
        <v>-2.4015907753315545E-2</v>
      </c>
      <c r="J76" s="14">
        <f t="shared" si="39"/>
        <v>1.5347059597748105E-3</v>
      </c>
      <c r="K76" s="16">
        <f>AVERAGE(F76:J76)</f>
        <v>-9.7606204963472873E-3</v>
      </c>
      <c r="L76" s="16">
        <f t="shared" ref="L76:O76" si="40">AVERAGE(G76:K76)</f>
        <v>-1.053046099504695E-2</v>
      </c>
      <c r="M76" s="16">
        <f t="shared" si="40"/>
        <v>-1.1056132031262354E-2</v>
      </c>
      <c r="N76" s="16">
        <f t="shared" si="40"/>
        <v>-1.0765683063239464E-2</v>
      </c>
      <c r="O76" s="16">
        <f t="shared" si="40"/>
        <v>-8.115638125224249E-3</v>
      </c>
    </row>
    <row r="78" spans="2:15" x14ac:dyDescent="0.2">
      <c r="B78" s="37" t="s">
        <v>37</v>
      </c>
      <c r="C78" s="38"/>
      <c r="D78" s="39"/>
      <c r="E78" s="38"/>
      <c r="F78" s="38"/>
      <c r="G78" s="38"/>
      <c r="H78" s="38"/>
      <c r="I78" s="38"/>
      <c r="J78" s="41"/>
      <c r="K78" s="40">
        <f>K65+K68-K72+K75</f>
        <v>-38154.553214827087</v>
      </c>
      <c r="L78" s="40">
        <f t="shared" ref="L78:O78" si="41">L65+L68-L72+L75</f>
        <v>-4220.3423443997699</v>
      </c>
      <c r="M78" s="40">
        <f t="shared" si="41"/>
        <v>45384.944937109067</v>
      </c>
      <c r="N78" s="40">
        <f t="shared" si="41"/>
        <v>112922.9346772579</v>
      </c>
      <c r="O78" s="40">
        <f t="shared" si="41"/>
        <v>200871.99643758722</v>
      </c>
    </row>
    <row r="79" spans="2:15" x14ac:dyDescent="0.2">
      <c r="J79" s="12"/>
      <c r="K79" s="13"/>
      <c r="L79" s="13"/>
      <c r="M79" s="13"/>
      <c r="N79" s="13"/>
      <c r="O79" s="13"/>
    </row>
    <row r="80" spans="2:15" x14ac:dyDescent="0.2">
      <c r="B80" t="s">
        <v>75</v>
      </c>
      <c r="J80" s="12"/>
      <c r="K80" s="59">
        <f ca="1">YEARFRAC(C7,C8)</f>
        <v>0.2388888888888889</v>
      </c>
      <c r="L80" s="13"/>
      <c r="M80" s="13"/>
      <c r="N80" s="13"/>
      <c r="O80" s="13"/>
    </row>
    <row r="81" spans="2:15" x14ac:dyDescent="0.2">
      <c r="B81" t="s">
        <v>76</v>
      </c>
      <c r="J81" s="12"/>
      <c r="K81" s="59">
        <f ca="1">K80/2</f>
        <v>0.11944444444444445</v>
      </c>
      <c r="L81" s="59">
        <f ca="1">K80+0.5</f>
        <v>0.73888888888888893</v>
      </c>
      <c r="M81" s="59">
        <f ca="1">L81+1</f>
        <v>1.7388888888888889</v>
      </c>
      <c r="N81" s="59">
        <f t="shared" ref="N81:O81" ca="1" si="42">M81+1</f>
        <v>2.7388888888888889</v>
      </c>
      <c r="O81" s="59">
        <f t="shared" ca="1" si="42"/>
        <v>3.7388888888888889</v>
      </c>
    </row>
    <row r="83" spans="2:15" x14ac:dyDescent="0.2">
      <c r="B83" s="9" t="s">
        <v>60</v>
      </c>
      <c r="C83" s="9"/>
      <c r="D83" s="54"/>
      <c r="E83" s="9"/>
      <c r="F83" s="9"/>
      <c r="G83" s="9"/>
      <c r="H83" s="9"/>
      <c r="I83" s="9"/>
      <c r="J83" s="54"/>
      <c r="K83" s="55">
        <f ca="1">(K78*K80)/(1+$C$19)^K81</f>
        <v>-9008.4690842348682</v>
      </c>
      <c r="L83" s="55">
        <f ca="1">L78/(1+$C$19)^L81</f>
        <v>-3925.1158059019294</v>
      </c>
      <c r="M83" s="55">
        <f t="shared" ref="M83:O83" ca="1" si="43">M78/(1+$C$19)^M81</f>
        <v>38264.101009414735</v>
      </c>
      <c r="N83" s="55">
        <f t="shared" ca="1" si="43"/>
        <v>86305.160753347445</v>
      </c>
      <c r="O83" s="55">
        <f t="shared" ca="1" si="43"/>
        <v>139171.05317400373</v>
      </c>
    </row>
    <row r="85" spans="2:15" x14ac:dyDescent="0.2">
      <c r="B85" t="s">
        <v>52</v>
      </c>
      <c r="O85" s="13">
        <f>O78*(1+$C$20)/(C19-C20)</f>
        <v>2635409.339435135</v>
      </c>
    </row>
    <row r="86" spans="2:15" x14ac:dyDescent="0.2">
      <c r="B86" t="s">
        <v>53</v>
      </c>
      <c r="O86" s="13">
        <f ca="1">O85/(1+C19)^O81</f>
        <v>1825902.5639133968</v>
      </c>
    </row>
    <row r="87" spans="2:15" x14ac:dyDescent="0.2">
      <c r="O87" s="13"/>
    </row>
    <row r="88" spans="2:15" x14ac:dyDescent="0.2">
      <c r="B88" t="s">
        <v>54</v>
      </c>
      <c r="O88" s="13">
        <f ca="1">O86+SUM(K83:O83)</f>
        <v>2076709.293960026</v>
      </c>
    </row>
    <row r="89" spans="2:15" x14ac:dyDescent="0.2">
      <c r="B89" t="s">
        <v>55</v>
      </c>
      <c r="O89" s="13">
        <f>30708+96135</f>
        <v>126843</v>
      </c>
    </row>
    <row r="90" spans="2:15" s="30" customFormat="1" x14ac:dyDescent="0.2">
      <c r="B90" s="30" t="s">
        <v>56</v>
      </c>
      <c r="D90" s="31"/>
      <c r="J90" s="31"/>
      <c r="O90" s="56">
        <f>WACC!E12</f>
        <v>46547</v>
      </c>
    </row>
    <row r="91" spans="2:15" x14ac:dyDescent="0.2">
      <c r="B91" t="s">
        <v>57</v>
      </c>
      <c r="O91" s="13">
        <f ca="1">O88+O89-O90</f>
        <v>2157005.293960026</v>
      </c>
    </row>
    <row r="92" spans="2:15" s="30" customFormat="1" x14ac:dyDescent="0.2">
      <c r="B92" s="30" t="s">
        <v>58</v>
      </c>
      <c r="D92" s="31"/>
      <c r="J92" s="31"/>
      <c r="O92" s="56">
        <v>12097</v>
      </c>
    </row>
    <row r="94" spans="2:15" s="52" customFormat="1" x14ac:dyDescent="0.2">
      <c r="B94" s="52" t="s">
        <v>59</v>
      </c>
      <c r="D94" s="53"/>
      <c r="J94" s="53"/>
      <c r="O94" s="60">
        <f ca="1">O91/O92</f>
        <v>178.30910919732381</v>
      </c>
    </row>
  </sheetData>
  <dataValidations disablePrompts="1" count="1">
    <dataValidation type="list" allowBlank="1" showInputMessage="1" showErrorMessage="1" sqref="C17" xr:uid="{AEC3AF85-B2EF-F04B-9435-0209000D764D}">
      <formula1>"1,2,3"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D58F8-F2A1-D942-99F7-B230CFA6F536}">
  <dimension ref="A2:J33"/>
  <sheetViews>
    <sheetView showGridLines="0" zoomScale="250" zoomScaleNormal="250" workbookViewId="0">
      <selection activeCell="D32" sqref="D32"/>
    </sheetView>
  </sheetViews>
  <sheetFormatPr baseColWidth="10" defaultRowHeight="16" x14ac:dyDescent="0.2"/>
  <cols>
    <col min="1" max="1" width="2.83203125" customWidth="1"/>
    <col min="6" max="6" width="10.83203125" customWidth="1"/>
    <col min="8" max="8" width="10.83203125" customWidth="1"/>
  </cols>
  <sheetData>
    <row r="2" spans="1:6" s="30" customFormat="1" ht="27" x14ac:dyDescent="0.35">
      <c r="A2" s="30" t="s">
        <v>0</v>
      </c>
      <c r="B2" s="43" t="s">
        <v>40</v>
      </c>
    </row>
    <row r="4" spans="1:6" x14ac:dyDescent="0.2">
      <c r="F4" t="s">
        <v>51</v>
      </c>
    </row>
    <row r="6" spans="1:6" x14ac:dyDescent="0.2">
      <c r="B6" t="s">
        <v>41</v>
      </c>
      <c r="E6" s="20">
        <f>Rf+beta*MRP</f>
        <v>0.10384953079095063</v>
      </c>
    </row>
    <row r="7" spans="1:6" x14ac:dyDescent="0.2">
      <c r="B7" t="s">
        <v>42</v>
      </c>
      <c r="E7" s="62">
        <f>D33</f>
        <v>1.2656845468823013</v>
      </c>
    </row>
    <row r="8" spans="1:6" x14ac:dyDescent="0.2">
      <c r="B8" t="s">
        <v>43</v>
      </c>
      <c r="E8" s="44">
        <v>4.7399999999999998E-2</v>
      </c>
    </row>
    <row r="9" spans="1:6" x14ac:dyDescent="0.2">
      <c r="B9" t="s">
        <v>44</v>
      </c>
      <c r="E9" s="44">
        <v>4.4600000000000001E-2</v>
      </c>
    </row>
    <row r="11" spans="1:6" x14ac:dyDescent="0.2">
      <c r="B11" t="s">
        <v>45</v>
      </c>
      <c r="E11" s="45">
        <v>4220000</v>
      </c>
    </row>
    <row r="12" spans="1:6" x14ac:dyDescent="0.2">
      <c r="B12" t="s">
        <v>46</v>
      </c>
      <c r="E12" s="45">
        <v>46547</v>
      </c>
    </row>
    <row r="13" spans="1:6" x14ac:dyDescent="0.2">
      <c r="B13" t="s">
        <v>47</v>
      </c>
      <c r="E13" s="20">
        <f>E11/(E11+E12)</f>
        <v>0.98909024089035003</v>
      </c>
    </row>
    <row r="14" spans="1:6" x14ac:dyDescent="0.2">
      <c r="B14" t="s">
        <v>48</v>
      </c>
      <c r="E14" s="20">
        <f>E12/(E11+E12)</f>
        <v>1.0909759109650028E-2</v>
      </c>
    </row>
    <row r="16" spans="1:6" x14ac:dyDescent="0.2">
      <c r="B16" t="s">
        <v>49</v>
      </c>
      <c r="E16" s="46">
        <v>4.5100000000000001E-2</v>
      </c>
    </row>
    <row r="17" spans="1:10" x14ac:dyDescent="0.2">
      <c r="B17" t="s">
        <v>50</v>
      </c>
      <c r="E17" s="47">
        <f>1-16.8%</f>
        <v>0.83199999999999996</v>
      </c>
    </row>
    <row r="19" spans="1:10" x14ac:dyDescent="0.2">
      <c r="A19" t="s">
        <v>0</v>
      </c>
      <c r="B19" s="48" t="s">
        <v>34</v>
      </c>
      <c r="C19" s="49"/>
      <c r="D19" s="49"/>
      <c r="E19" s="50">
        <f>(E6*(E13))+(E16*tax_rate*E14)</f>
        <v>0.10312592649939441</v>
      </c>
    </row>
    <row r="21" spans="1:10" x14ac:dyDescent="0.2">
      <c r="J21" s="61" t="s">
        <v>77</v>
      </c>
    </row>
    <row r="23" spans="1:10" x14ac:dyDescent="0.2">
      <c r="B23" s="64" t="s">
        <v>63</v>
      </c>
      <c r="C23" s="65"/>
      <c r="D23" s="65"/>
      <c r="E23" s="65"/>
      <c r="F23" s="65"/>
      <c r="G23" s="65"/>
      <c r="H23" s="66"/>
    </row>
    <row r="24" spans="1:10" ht="2" customHeight="1" x14ac:dyDescent="0.2">
      <c r="B24" s="67"/>
      <c r="H24" s="2"/>
    </row>
    <row r="25" spans="1:10" x14ac:dyDescent="0.2">
      <c r="B25" s="68" t="s">
        <v>64</v>
      </c>
      <c r="C25" s="63"/>
      <c r="D25" s="63" t="s">
        <v>65</v>
      </c>
      <c r="E25" s="63" t="s">
        <v>66</v>
      </c>
      <c r="F25" s="63" t="s">
        <v>67</v>
      </c>
      <c r="G25" s="63" t="s">
        <v>68</v>
      </c>
      <c r="H25" s="69" t="s">
        <v>69</v>
      </c>
    </row>
    <row r="26" spans="1:10" x14ac:dyDescent="0.2">
      <c r="B26" s="67" t="s">
        <v>70</v>
      </c>
      <c r="D26" s="58">
        <v>1.1000000000000001</v>
      </c>
      <c r="E26" s="13">
        <v>3577000</v>
      </c>
      <c r="F26" s="13">
        <f>40152+2999-30242-64323</f>
        <v>-51414</v>
      </c>
      <c r="G26" s="17">
        <v>0.18</v>
      </c>
      <c r="H26" s="70">
        <f>D26/(1+(1-G26)*(F26/E26))</f>
        <v>1.1131195248378563</v>
      </c>
    </row>
    <row r="27" spans="1:10" x14ac:dyDescent="0.2">
      <c r="B27" s="67" t="s">
        <v>71</v>
      </c>
      <c r="D27">
        <v>1.0900000000000001</v>
      </c>
      <c r="E27" s="13">
        <v>4572000</v>
      </c>
      <c r="F27" s="13">
        <f>7979+12350+78328-35934-18763</f>
        <v>43960</v>
      </c>
      <c r="G27" s="46">
        <v>0.156</v>
      </c>
      <c r="H27" s="70">
        <f>D27/(1+(1-G27)*(F27/E27))</f>
        <v>1.0812257443002611</v>
      </c>
    </row>
    <row r="28" spans="1:10" x14ac:dyDescent="0.2">
      <c r="B28" s="67" t="s">
        <v>72</v>
      </c>
      <c r="D28">
        <v>1.72</v>
      </c>
      <c r="E28" s="13">
        <v>409387</v>
      </c>
      <c r="F28" s="13">
        <f>156071+3542+7819-31894</f>
        <v>135538</v>
      </c>
      <c r="G28" s="46">
        <v>0.121</v>
      </c>
      <c r="H28" s="70">
        <f>D28/(1+(1-G28)*(F28/E28))</f>
        <v>1.3322846990471604</v>
      </c>
    </row>
    <row r="29" spans="1:10" x14ac:dyDescent="0.2">
      <c r="B29" s="67" t="s">
        <v>73</v>
      </c>
      <c r="D29">
        <v>1.45</v>
      </c>
      <c r="E29" s="13">
        <v>1384000</v>
      </c>
      <c r="F29" s="13">
        <f>65648-86810-36219</f>
        <v>-57381</v>
      </c>
      <c r="G29" s="46">
        <v>0.19600000000000001</v>
      </c>
      <c r="H29" s="70">
        <f>D29/(1+(1-G29)*(F29/E29))</f>
        <v>1.5000011107243625</v>
      </c>
    </row>
    <row r="30" spans="1:10" x14ac:dyDescent="0.2">
      <c r="B30" s="71" t="s">
        <v>74</v>
      </c>
      <c r="C30" s="30"/>
      <c r="D30" s="30">
        <v>1.24</v>
      </c>
      <c r="E30" s="56">
        <v>2816000</v>
      </c>
      <c r="F30" s="56">
        <f>58744-35873-45719</f>
        <v>-22848</v>
      </c>
      <c r="G30" s="72">
        <v>0.29599999999999999</v>
      </c>
      <c r="H30" s="73">
        <f>D30/(1+(1-G30)*(F30/E30))</f>
        <v>1.247123569830874</v>
      </c>
    </row>
    <row r="32" spans="1:10" x14ac:dyDescent="0.2">
      <c r="B32" t="s">
        <v>78</v>
      </c>
      <c r="D32" s="58">
        <f>AVERAGE(H26:H30)</f>
        <v>1.2547509297481028</v>
      </c>
    </row>
    <row r="33" spans="2:10" x14ac:dyDescent="0.2">
      <c r="B33" t="s">
        <v>80</v>
      </c>
      <c r="D33" s="58">
        <f>D32*(1+(1-21%)*(E12/E11))</f>
        <v>1.2656845468823013</v>
      </c>
      <c r="J33" t="s">
        <v>79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70C39-EF79-DD40-8B79-072BF85D53BB}">
  <dimension ref="A1:Z1000"/>
  <sheetViews>
    <sheetView workbookViewId="0">
      <selection activeCell="C11" sqref="C11"/>
    </sheetView>
  </sheetViews>
  <sheetFormatPr baseColWidth="10" defaultRowHeight="16" x14ac:dyDescent="0.2"/>
  <cols>
    <col min="1" max="1" width="2.83203125" customWidth="1"/>
  </cols>
  <sheetData>
    <row r="1" spans="1:26" x14ac:dyDescent="0.2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1:26" ht="27" x14ac:dyDescent="0.35">
      <c r="A2" s="74"/>
      <c r="B2" s="75" t="s">
        <v>81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spans="1:26" x14ac:dyDescent="0.2">
      <c r="A3" s="74"/>
      <c r="B3" s="76" t="s">
        <v>82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spans="1:26" x14ac:dyDescent="0.2">
      <c r="A4" s="74"/>
      <c r="B4" s="74"/>
      <c r="C4" s="74"/>
      <c r="D4" s="74"/>
      <c r="E4" s="74"/>
      <c r="F4" s="76" t="s">
        <v>83</v>
      </c>
      <c r="G4" s="74"/>
      <c r="H4" s="74"/>
      <c r="I4" s="74"/>
      <c r="J4" s="74"/>
      <c r="K4" s="76" t="s">
        <v>84</v>
      </c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x14ac:dyDescent="0.2">
      <c r="A5" s="74"/>
      <c r="B5" s="9" t="s">
        <v>85</v>
      </c>
      <c r="C5" s="74"/>
      <c r="D5" s="74"/>
      <c r="E5" s="74"/>
      <c r="F5" s="9" t="s">
        <v>86</v>
      </c>
      <c r="G5" s="9" t="s">
        <v>87</v>
      </c>
      <c r="H5" s="9" t="s">
        <v>88</v>
      </c>
      <c r="I5" s="9" t="s">
        <v>89</v>
      </c>
      <c r="J5" s="9" t="s">
        <v>90</v>
      </c>
      <c r="K5" s="9" t="s">
        <v>91</v>
      </c>
      <c r="L5" s="9" t="s">
        <v>92</v>
      </c>
      <c r="M5" s="9" t="s">
        <v>93</v>
      </c>
      <c r="N5" s="9" t="s">
        <v>94</v>
      </c>
      <c r="O5" s="9" t="s">
        <v>95</v>
      </c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x14ac:dyDescent="0.2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x14ac:dyDescent="0.2">
      <c r="A7" s="74"/>
      <c r="B7" s="77" t="s">
        <v>96</v>
      </c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x14ac:dyDescent="0.2">
      <c r="A8" s="74"/>
      <c r="B8" s="9" t="s">
        <v>12</v>
      </c>
      <c r="C8" s="74"/>
      <c r="D8" s="74"/>
      <c r="E8" s="74"/>
      <c r="F8" s="78">
        <v>257637</v>
      </c>
      <c r="G8" s="78">
        <v>282836</v>
      </c>
      <c r="H8" s="78">
        <v>307394</v>
      </c>
      <c r="I8" s="78">
        <v>350018</v>
      </c>
      <c r="J8" s="78">
        <v>402836</v>
      </c>
      <c r="K8" s="79">
        <v>497690</v>
      </c>
      <c r="L8" s="79">
        <v>604420</v>
      </c>
      <c r="M8" s="79">
        <v>721054</v>
      </c>
      <c r="N8" s="79">
        <v>844703</v>
      </c>
      <c r="O8" s="79">
        <v>971408</v>
      </c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x14ac:dyDescent="0.2">
      <c r="A9" s="74"/>
      <c r="B9" s="11" t="s">
        <v>17</v>
      </c>
      <c r="C9" s="74"/>
      <c r="D9" s="74"/>
      <c r="E9" s="74"/>
      <c r="F9" s="74"/>
      <c r="G9" s="80">
        <v>9.8000000000000004E-2</v>
      </c>
      <c r="H9" s="80">
        <v>8.6999999999999994E-2</v>
      </c>
      <c r="I9" s="80">
        <v>0.13900000000000001</v>
      </c>
      <c r="J9" s="80">
        <v>0.151</v>
      </c>
      <c r="K9" s="80">
        <v>0.23499999999999999</v>
      </c>
      <c r="L9" s="80">
        <v>0.214</v>
      </c>
      <c r="M9" s="80">
        <v>0.193</v>
      </c>
      <c r="N9" s="80">
        <v>0.17100000000000001</v>
      </c>
      <c r="O9" s="80">
        <v>0.15</v>
      </c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 spans="1:26" x14ac:dyDescent="0.2">
      <c r="A10" s="74"/>
      <c r="B10" s="74" t="s">
        <v>97</v>
      </c>
      <c r="C10" s="74"/>
      <c r="D10" s="74"/>
      <c r="E10" s="74"/>
      <c r="F10" s="81">
        <v>110939</v>
      </c>
      <c r="G10" s="81">
        <v>126203</v>
      </c>
      <c r="H10" s="81">
        <v>133332</v>
      </c>
      <c r="I10" s="81">
        <v>146306</v>
      </c>
      <c r="J10" s="81">
        <v>162535</v>
      </c>
      <c r="K10" s="82">
        <v>200569</v>
      </c>
      <c r="L10" s="82">
        <v>243581</v>
      </c>
      <c r="M10" s="82">
        <v>290585</v>
      </c>
      <c r="N10" s="82">
        <v>340415</v>
      </c>
      <c r="O10" s="82">
        <v>391477</v>
      </c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 spans="1:26" x14ac:dyDescent="0.2">
      <c r="A11" s="74"/>
      <c r="B11" s="9" t="s">
        <v>98</v>
      </c>
      <c r="C11" s="74"/>
      <c r="D11" s="74"/>
      <c r="E11" s="74"/>
      <c r="F11" s="83">
        <v>146698</v>
      </c>
      <c r="G11" s="83">
        <v>156633</v>
      </c>
      <c r="H11" s="83">
        <v>174062</v>
      </c>
      <c r="I11" s="83">
        <v>203712</v>
      </c>
      <c r="J11" s="83">
        <v>240301</v>
      </c>
      <c r="K11" s="83">
        <v>297121</v>
      </c>
      <c r="L11" s="83">
        <v>360839</v>
      </c>
      <c r="M11" s="83">
        <v>430469</v>
      </c>
      <c r="N11" s="83">
        <v>504287</v>
      </c>
      <c r="O11" s="83">
        <v>579931</v>
      </c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 spans="1:26" x14ac:dyDescent="0.2">
      <c r="A12" s="74"/>
      <c r="B12" s="11" t="s">
        <v>99</v>
      </c>
      <c r="C12" s="74"/>
      <c r="D12" s="74"/>
      <c r="E12" s="74"/>
      <c r="F12" s="80">
        <v>0.56899999999999995</v>
      </c>
      <c r="G12" s="80">
        <v>0.55400000000000005</v>
      </c>
      <c r="H12" s="80">
        <v>0.56599999999999995</v>
      </c>
      <c r="I12" s="80">
        <v>0.58199999999999996</v>
      </c>
      <c r="J12" s="80">
        <v>0.59699999999999998</v>
      </c>
      <c r="K12" s="80">
        <v>0.59699999999999998</v>
      </c>
      <c r="L12" s="80">
        <v>0.59699999999999998</v>
      </c>
      <c r="M12" s="80">
        <v>0.59699999999999998</v>
      </c>
      <c r="N12" s="80">
        <v>0.59699999999999998</v>
      </c>
      <c r="O12" s="80">
        <v>0.59699999999999998</v>
      </c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 spans="1:26" x14ac:dyDescent="0.2">
      <c r="A13" s="74"/>
      <c r="B13" s="74" t="s">
        <v>100</v>
      </c>
      <c r="C13" s="74"/>
      <c r="D13" s="74"/>
      <c r="E13" s="74"/>
      <c r="F13" s="81">
        <v>31562</v>
      </c>
      <c r="G13" s="81">
        <v>39500</v>
      </c>
      <c r="H13" s="81">
        <v>45427</v>
      </c>
      <c r="I13" s="81">
        <v>49326</v>
      </c>
      <c r="J13" s="81">
        <v>61087</v>
      </c>
      <c r="K13" s="82">
        <v>72260</v>
      </c>
      <c r="L13" s="82">
        <v>89626</v>
      </c>
      <c r="M13" s="82">
        <v>109151</v>
      </c>
      <c r="N13" s="82">
        <v>130481</v>
      </c>
      <c r="O13" s="82">
        <v>153058</v>
      </c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 spans="1:26" x14ac:dyDescent="0.2">
      <c r="A14" s="74"/>
      <c r="B14" s="74" t="s">
        <v>101</v>
      </c>
      <c r="C14" s="74"/>
      <c r="D14" s="74"/>
      <c r="E14" s="74"/>
      <c r="F14" s="81">
        <v>36422</v>
      </c>
      <c r="G14" s="81">
        <v>42291</v>
      </c>
      <c r="H14" s="81">
        <v>44342</v>
      </c>
      <c r="I14" s="81">
        <v>41996</v>
      </c>
      <c r="J14" s="81">
        <v>50175</v>
      </c>
      <c r="K14" s="82">
        <v>59361</v>
      </c>
      <c r="L14" s="82">
        <v>73627</v>
      </c>
      <c r="M14" s="82">
        <v>89667</v>
      </c>
      <c r="N14" s="82">
        <v>107190</v>
      </c>
      <c r="O14" s="82">
        <v>125736</v>
      </c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 spans="1:26" x14ac:dyDescent="0.2">
      <c r="A15" s="74"/>
      <c r="B15" s="74" t="s">
        <v>102</v>
      </c>
      <c r="C15" s="74"/>
      <c r="D15" s="74"/>
      <c r="E15" s="74"/>
      <c r="F15" s="84" t="s">
        <v>103</v>
      </c>
      <c r="G15" s="84" t="s">
        <v>103</v>
      </c>
      <c r="H15" s="84" t="s">
        <v>103</v>
      </c>
      <c r="I15" s="84" t="s">
        <v>103</v>
      </c>
      <c r="J15" s="84" t="s">
        <v>103</v>
      </c>
      <c r="K15" s="84" t="s">
        <v>103</v>
      </c>
      <c r="L15" s="84" t="s">
        <v>103</v>
      </c>
      <c r="M15" s="84" t="s">
        <v>103</v>
      </c>
      <c r="N15" s="84" t="s">
        <v>103</v>
      </c>
      <c r="O15" s="84" t="s">
        <v>103</v>
      </c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 spans="1:26" x14ac:dyDescent="0.2">
      <c r="A16" s="74"/>
      <c r="B16" s="9" t="s">
        <v>104</v>
      </c>
      <c r="C16" s="74"/>
      <c r="D16" s="74"/>
      <c r="E16" s="74"/>
      <c r="F16" s="83">
        <v>67984</v>
      </c>
      <c r="G16" s="83">
        <v>81791</v>
      </c>
      <c r="H16" s="83">
        <v>89769</v>
      </c>
      <c r="I16" s="83">
        <v>91322</v>
      </c>
      <c r="J16" s="83">
        <v>111262</v>
      </c>
      <c r="K16" s="83">
        <v>131622</v>
      </c>
      <c r="L16" s="83">
        <v>163253</v>
      </c>
      <c r="M16" s="83">
        <v>198818</v>
      </c>
      <c r="N16" s="83">
        <v>237671</v>
      </c>
      <c r="O16" s="83">
        <v>278794</v>
      </c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 spans="1:26" x14ac:dyDescent="0.2">
      <c r="A17" s="74"/>
      <c r="B17" s="9" t="s">
        <v>105</v>
      </c>
      <c r="C17" s="74"/>
      <c r="D17" s="74"/>
      <c r="E17" s="74"/>
      <c r="F17" s="83">
        <v>78714</v>
      </c>
      <c r="G17" s="83">
        <v>74842</v>
      </c>
      <c r="H17" s="83">
        <v>84293</v>
      </c>
      <c r="I17" s="83">
        <v>112390</v>
      </c>
      <c r="J17" s="83">
        <v>129039</v>
      </c>
      <c r="K17" s="79">
        <v>165499</v>
      </c>
      <c r="L17" s="79">
        <v>197585</v>
      </c>
      <c r="M17" s="79">
        <v>231651</v>
      </c>
      <c r="N17" s="79">
        <v>266617</v>
      </c>
      <c r="O17" s="79">
        <v>301136</v>
      </c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 spans="1:26" x14ac:dyDescent="0.2">
      <c r="A18" s="74"/>
      <c r="B18" s="11" t="s">
        <v>106</v>
      </c>
      <c r="C18" s="74"/>
      <c r="D18" s="74"/>
      <c r="E18" s="74"/>
      <c r="F18" s="80">
        <v>0.30599999999999999</v>
      </c>
      <c r="G18" s="80">
        <v>0.26500000000000001</v>
      </c>
      <c r="H18" s="80">
        <v>0.27400000000000002</v>
      </c>
      <c r="I18" s="80">
        <v>0.32100000000000001</v>
      </c>
      <c r="J18" s="80">
        <v>0.32</v>
      </c>
      <c r="K18" s="80">
        <v>0.33300000000000002</v>
      </c>
      <c r="L18" s="80">
        <v>0.32700000000000001</v>
      </c>
      <c r="M18" s="80">
        <v>0.32100000000000001</v>
      </c>
      <c r="N18" s="80">
        <v>0.316</v>
      </c>
      <c r="O18" s="80">
        <v>0.31</v>
      </c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 spans="1:26" x14ac:dyDescent="0.2">
      <c r="A19" s="74"/>
      <c r="B19" s="74" t="s">
        <v>107</v>
      </c>
      <c r="C19" s="74"/>
      <c r="D19" s="74"/>
      <c r="E19" s="74"/>
      <c r="F19" s="81">
        <v>1499</v>
      </c>
      <c r="G19" s="81">
        <v>2174</v>
      </c>
      <c r="H19" s="81">
        <v>3865</v>
      </c>
      <c r="I19" s="81">
        <v>4482</v>
      </c>
      <c r="J19" s="81">
        <v>4337</v>
      </c>
      <c r="K19" s="85">
        <v>4440</v>
      </c>
      <c r="L19" s="85">
        <v>3300</v>
      </c>
      <c r="M19" s="85">
        <v>3314</v>
      </c>
      <c r="N19" s="85">
        <v>3772</v>
      </c>
      <c r="O19" s="85">
        <v>4837</v>
      </c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 spans="1:26" x14ac:dyDescent="0.2">
      <c r="A20" s="74"/>
      <c r="B20" s="74" t="s">
        <v>108</v>
      </c>
      <c r="C20" s="74"/>
      <c r="D20" s="74"/>
      <c r="E20" s="74"/>
      <c r="F20" s="84">
        <v>-346</v>
      </c>
      <c r="G20" s="84">
        <v>-357</v>
      </c>
      <c r="H20" s="84">
        <v>-308</v>
      </c>
      <c r="I20" s="84">
        <v>-268</v>
      </c>
      <c r="J20" s="84">
        <v>-736</v>
      </c>
      <c r="K20" s="85">
        <v>-2189</v>
      </c>
      <c r="L20" s="85">
        <v>-2189</v>
      </c>
      <c r="M20" s="85">
        <v>-2189</v>
      </c>
      <c r="N20" s="85">
        <v>-2189</v>
      </c>
      <c r="O20" s="85">
        <v>-2189</v>
      </c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 spans="1:26" x14ac:dyDescent="0.2">
      <c r="A21" s="74"/>
      <c r="B21" s="74" t="s">
        <v>109</v>
      </c>
      <c r="C21" s="74"/>
      <c r="D21" s="74"/>
      <c r="E21" s="74"/>
      <c r="F21" s="81">
        <v>10867</v>
      </c>
      <c r="G21" s="81">
        <v>-5331</v>
      </c>
      <c r="H21" s="81">
        <v>-2133</v>
      </c>
      <c r="I21" s="81">
        <v>3211</v>
      </c>
      <c r="J21" s="81">
        <v>26186</v>
      </c>
      <c r="K21" s="84" t="s">
        <v>103</v>
      </c>
      <c r="L21" s="84" t="s">
        <v>103</v>
      </c>
      <c r="M21" s="84" t="s">
        <v>103</v>
      </c>
      <c r="N21" s="84" t="s">
        <v>103</v>
      </c>
      <c r="O21" s="84" t="s">
        <v>103</v>
      </c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spans="1:26" x14ac:dyDescent="0.2">
      <c r="A22" s="74"/>
      <c r="B22" s="9" t="s">
        <v>110</v>
      </c>
      <c r="C22" s="74"/>
      <c r="D22" s="74"/>
      <c r="E22" s="74"/>
      <c r="F22" s="83">
        <v>90734</v>
      </c>
      <c r="G22" s="83">
        <v>71328</v>
      </c>
      <c r="H22" s="83">
        <v>85717</v>
      </c>
      <c r="I22" s="83">
        <v>119815</v>
      </c>
      <c r="J22" s="83">
        <v>158826</v>
      </c>
      <c r="K22" s="83">
        <v>167749</v>
      </c>
      <c r="L22" s="83">
        <v>198696</v>
      </c>
      <c r="M22" s="83">
        <v>232775</v>
      </c>
      <c r="N22" s="83">
        <v>268200</v>
      </c>
      <c r="O22" s="83">
        <v>303784</v>
      </c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 spans="1:26" x14ac:dyDescent="0.2">
      <c r="A23" s="74"/>
      <c r="B23" s="74" t="s">
        <v>111</v>
      </c>
      <c r="C23" s="74"/>
      <c r="D23" s="74"/>
      <c r="E23" s="74"/>
      <c r="F23" s="81">
        <v>14701</v>
      </c>
      <c r="G23" s="81">
        <v>11356</v>
      </c>
      <c r="H23" s="81">
        <v>11922</v>
      </c>
      <c r="I23" s="81">
        <v>19697</v>
      </c>
      <c r="J23" s="81">
        <v>26656</v>
      </c>
      <c r="K23" s="82">
        <v>35227</v>
      </c>
      <c r="L23" s="82">
        <v>41726</v>
      </c>
      <c r="M23" s="82">
        <v>48883</v>
      </c>
      <c r="N23" s="82">
        <v>56322</v>
      </c>
      <c r="O23" s="82">
        <v>63795</v>
      </c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 spans="1:26" x14ac:dyDescent="0.2">
      <c r="A24" s="74"/>
      <c r="B24" s="11" t="s">
        <v>112</v>
      </c>
      <c r="C24" s="74"/>
      <c r="D24" s="74"/>
      <c r="E24" s="74"/>
      <c r="F24" s="80">
        <v>0.16200000000000001</v>
      </c>
      <c r="G24" s="80">
        <v>0.159</v>
      </c>
      <c r="H24" s="80">
        <v>0.13900000000000001</v>
      </c>
      <c r="I24" s="80">
        <v>0.16400000000000001</v>
      </c>
      <c r="J24" s="80">
        <v>0.16800000000000001</v>
      </c>
      <c r="K24" s="80">
        <v>0.21</v>
      </c>
      <c r="L24" s="80">
        <v>0.21</v>
      </c>
      <c r="M24" s="80">
        <v>0.21</v>
      </c>
      <c r="N24" s="80">
        <v>0.21</v>
      </c>
      <c r="O24" s="80">
        <v>0.21</v>
      </c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 spans="1:26" x14ac:dyDescent="0.2">
      <c r="A25" s="74"/>
      <c r="B25" s="74" t="s">
        <v>113</v>
      </c>
      <c r="C25" s="74"/>
      <c r="D25" s="74"/>
      <c r="E25" s="74"/>
      <c r="F25" s="84" t="s">
        <v>103</v>
      </c>
      <c r="G25" s="84" t="s">
        <v>103</v>
      </c>
      <c r="H25" s="84" t="s">
        <v>103</v>
      </c>
      <c r="I25" s="84" t="s">
        <v>103</v>
      </c>
      <c r="J25" s="84" t="s">
        <v>103</v>
      </c>
      <c r="K25" s="84" t="s">
        <v>103</v>
      </c>
      <c r="L25" s="84" t="s">
        <v>103</v>
      </c>
      <c r="M25" s="84" t="s">
        <v>103</v>
      </c>
      <c r="N25" s="84" t="s">
        <v>103</v>
      </c>
      <c r="O25" s="84" t="s">
        <v>103</v>
      </c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 spans="1:26" x14ac:dyDescent="0.2">
      <c r="A26" s="74"/>
      <c r="B26" s="9" t="s">
        <v>114</v>
      </c>
      <c r="C26" s="74"/>
      <c r="D26" s="74"/>
      <c r="E26" s="74"/>
      <c r="F26" s="83">
        <v>76033</v>
      </c>
      <c r="G26" s="83">
        <v>59972</v>
      </c>
      <c r="H26" s="83">
        <v>73795</v>
      </c>
      <c r="I26" s="83">
        <v>100118</v>
      </c>
      <c r="J26" s="83">
        <v>132170</v>
      </c>
      <c r="K26" s="83">
        <v>132522</v>
      </c>
      <c r="L26" s="83">
        <v>156970</v>
      </c>
      <c r="M26" s="83">
        <v>183892</v>
      </c>
      <c r="N26" s="83">
        <v>211878</v>
      </c>
      <c r="O26" s="83">
        <v>239989</v>
      </c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 spans="1:26" x14ac:dyDescent="0.2">
      <c r="A27" s="74"/>
      <c r="B27" s="11" t="s">
        <v>115</v>
      </c>
      <c r="C27" s="74"/>
      <c r="D27" s="74"/>
      <c r="E27" s="74"/>
      <c r="F27" s="80">
        <v>0.29499999999999998</v>
      </c>
      <c r="G27" s="80">
        <v>0.21199999999999999</v>
      </c>
      <c r="H27" s="80">
        <v>0.24</v>
      </c>
      <c r="I27" s="80">
        <v>0.28599999999999998</v>
      </c>
      <c r="J27" s="80">
        <v>0.32800000000000001</v>
      </c>
      <c r="K27" s="80">
        <v>0.26600000000000001</v>
      </c>
      <c r="L27" s="80">
        <v>0.26</v>
      </c>
      <c r="M27" s="80">
        <v>0.255</v>
      </c>
      <c r="N27" s="80">
        <v>0.251</v>
      </c>
      <c r="O27" s="80">
        <v>0.247</v>
      </c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 spans="1:26" x14ac:dyDescent="0.2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 spans="1:26" x14ac:dyDescent="0.2">
      <c r="A29" s="74"/>
      <c r="B29" s="74" t="s">
        <v>116</v>
      </c>
      <c r="C29" s="74"/>
      <c r="D29" s="74"/>
      <c r="E29" s="74"/>
      <c r="F29" s="85">
        <v>10273</v>
      </c>
      <c r="G29" s="85">
        <v>13475</v>
      </c>
      <c r="H29" s="85">
        <v>11946</v>
      </c>
      <c r="I29" s="85">
        <v>15311</v>
      </c>
      <c r="J29" s="85">
        <v>21136</v>
      </c>
      <c r="K29" s="85">
        <v>30959</v>
      </c>
      <c r="L29" s="85">
        <v>50864</v>
      </c>
      <c r="M29" s="85">
        <v>76506</v>
      </c>
      <c r="N29" s="85">
        <v>108165</v>
      </c>
      <c r="O29" s="85">
        <v>145711</v>
      </c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 spans="1:26" x14ac:dyDescent="0.2">
      <c r="A30" s="74"/>
      <c r="B30" s="9" t="s">
        <v>117</v>
      </c>
      <c r="C30" s="74"/>
      <c r="D30" s="74"/>
      <c r="E30" s="74"/>
      <c r="F30" s="83">
        <v>88987</v>
      </c>
      <c r="G30" s="83">
        <v>88317</v>
      </c>
      <c r="H30" s="83">
        <v>96239</v>
      </c>
      <c r="I30" s="83">
        <v>127701</v>
      </c>
      <c r="J30" s="83">
        <v>150175</v>
      </c>
      <c r="K30" s="83">
        <v>196458</v>
      </c>
      <c r="L30" s="83">
        <v>248450</v>
      </c>
      <c r="M30" s="83">
        <v>308157</v>
      </c>
      <c r="N30" s="83">
        <v>374782</v>
      </c>
      <c r="O30" s="83">
        <v>446848</v>
      </c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 spans="1:26" x14ac:dyDescent="0.2">
      <c r="A31" s="74"/>
      <c r="B31" s="11" t="s">
        <v>118</v>
      </c>
      <c r="C31" s="74"/>
      <c r="D31" s="74"/>
      <c r="E31" s="74"/>
      <c r="F31" s="80">
        <v>0.34499999999999997</v>
      </c>
      <c r="G31" s="80">
        <v>0.312</v>
      </c>
      <c r="H31" s="80">
        <v>0.313</v>
      </c>
      <c r="I31" s="80">
        <v>0.36499999999999999</v>
      </c>
      <c r="J31" s="80">
        <v>0.373</v>
      </c>
      <c r="K31" s="80">
        <v>0.39500000000000002</v>
      </c>
      <c r="L31" s="80">
        <v>0.41099999999999998</v>
      </c>
      <c r="M31" s="80">
        <v>0.42699999999999999</v>
      </c>
      <c r="N31" s="80">
        <v>0.44400000000000001</v>
      </c>
      <c r="O31" s="80">
        <v>0.46</v>
      </c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 spans="1:26" x14ac:dyDescent="0.2">
      <c r="A32" s="74"/>
      <c r="B32" s="74" t="s">
        <v>119</v>
      </c>
      <c r="C32" s="74"/>
      <c r="D32" s="74"/>
      <c r="E32" s="74"/>
      <c r="F32" s="81">
        <v>13553</v>
      </c>
      <c r="G32" s="81">
        <v>13159</v>
      </c>
      <c r="H32" s="81">
        <v>12722</v>
      </c>
      <c r="I32" s="81">
        <v>12447</v>
      </c>
      <c r="J32" s="81">
        <v>12230</v>
      </c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 spans="1:26" x14ac:dyDescent="0.2">
      <c r="A33" s="74"/>
      <c r="B33" s="74" t="s">
        <v>120</v>
      </c>
      <c r="C33" s="74"/>
      <c r="D33" s="74"/>
      <c r="E33" s="74"/>
      <c r="F33" s="74">
        <v>5.61</v>
      </c>
      <c r="G33" s="74">
        <v>4.5599999999999996</v>
      </c>
      <c r="H33" s="74">
        <v>5.8</v>
      </c>
      <c r="I33" s="74">
        <v>8.0399999999999991</v>
      </c>
      <c r="J33" s="74">
        <v>10.81</v>
      </c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 spans="1:26" x14ac:dyDescent="0.2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 spans="1:26" x14ac:dyDescent="0.2">
      <c r="A35" s="74"/>
      <c r="B35" s="77" t="s">
        <v>121</v>
      </c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 spans="1:26" x14ac:dyDescent="0.2">
      <c r="A36" s="74"/>
      <c r="B36" s="9" t="s">
        <v>122</v>
      </c>
      <c r="C36" s="74"/>
      <c r="D36" s="74"/>
      <c r="E36" s="74"/>
      <c r="F36" s="86" t="s">
        <v>103</v>
      </c>
      <c r="G36" s="86" t="s">
        <v>103</v>
      </c>
      <c r="H36" s="86" t="s">
        <v>103</v>
      </c>
      <c r="I36" s="86" t="s">
        <v>103</v>
      </c>
      <c r="J36" s="86">
        <v>153</v>
      </c>
      <c r="K36" s="86" t="s">
        <v>103</v>
      </c>
      <c r="L36" s="86" t="s">
        <v>103</v>
      </c>
      <c r="M36" s="86" t="s">
        <v>103</v>
      </c>
      <c r="N36" s="86" t="s">
        <v>103</v>
      </c>
      <c r="O36" s="86" t="s">
        <v>103</v>
      </c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spans="1:26" x14ac:dyDescent="0.2">
      <c r="A37" s="74"/>
      <c r="B37" s="9" t="s">
        <v>123</v>
      </c>
      <c r="C37" s="74"/>
      <c r="D37" s="74"/>
      <c r="E37" s="74"/>
      <c r="F37" s="86" t="s">
        <v>103</v>
      </c>
      <c r="G37" s="86" t="s">
        <v>103</v>
      </c>
      <c r="H37" s="86" t="s">
        <v>103</v>
      </c>
      <c r="I37" s="86" t="s">
        <v>103</v>
      </c>
      <c r="J37" s="86" t="s">
        <v>103</v>
      </c>
      <c r="K37" s="86" t="s">
        <v>103</v>
      </c>
      <c r="L37" s="86" t="s">
        <v>103</v>
      </c>
      <c r="M37" s="86" t="s">
        <v>103</v>
      </c>
      <c r="N37" s="86" t="s">
        <v>103</v>
      </c>
      <c r="O37" s="86" t="s">
        <v>103</v>
      </c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spans="1:26" x14ac:dyDescent="0.2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spans="1:26" x14ac:dyDescent="0.2">
      <c r="A39" s="74"/>
      <c r="B39" s="77" t="s">
        <v>124</v>
      </c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spans="1:26" x14ac:dyDescent="0.2">
      <c r="A40" s="74"/>
      <c r="B40" s="74" t="s">
        <v>125</v>
      </c>
      <c r="C40" s="74"/>
      <c r="D40" s="74"/>
      <c r="E40" s="74"/>
      <c r="F40" s="87">
        <v>0.43099999999999999</v>
      </c>
      <c r="G40" s="87">
        <v>0.44600000000000001</v>
      </c>
      <c r="H40" s="87">
        <v>0.434</v>
      </c>
      <c r="I40" s="87">
        <v>0.41799999999999998</v>
      </c>
      <c r="J40" s="87">
        <v>0.40300000000000002</v>
      </c>
      <c r="K40" s="88">
        <v>0.40300000000000002</v>
      </c>
      <c r="L40" s="88">
        <v>0.40300000000000002</v>
      </c>
      <c r="M40" s="88">
        <v>0.40300000000000002</v>
      </c>
      <c r="N40" s="88">
        <v>0.40300000000000002</v>
      </c>
      <c r="O40" s="88">
        <v>0.40300000000000002</v>
      </c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spans="1:26" x14ac:dyDescent="0.2">
      <c r="A41" s="74"/>
      <c r="B41" s="74" t="s">
        <v>126</v>
      </c>
      <c r="C41" s="74"/>
      <c r="D41" s="74"/>
      <c r="E41" s="74"/>
      <c r="F41" s="87">
        <v>0.46400000000000002</v>
      </c>
      <c r="G41" s="87">
        <v>0.48299999999999998</v>
      </c>
      <c r="H41" s="87">
        <v>0.50600000000000001</v>
      </c>
      <c r="I41" s="87">
        <v>0.54</v>
      </c>
      <c r="J41" s="87">
        <v>0.54900000000000004</v>
      </c>
      <c r="K41" s="88">
        <v>0.54900000000000004</v>
      </c>
      <c r="L41" s="88">
        <v>0.54900000000000004</v>
      </c>
      <c r="M41" s="88">
        <v>0.54900000000000004</v>
      </c>
      <c r="N41" s="88">
        <v>0.54900000000000004</v>
      </c>
      <c r="O41" s="88">
        <v>0.54900000000000004</v>
      </c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spans="1:26" x14ac:dyDescent="0.2">
      <c r="A42" s="74"/>
      <c r="B42" s="74" t="s">
        <v>127</v>
      </c>
      <c r="C42" s="74"/>
      <c r="D42" s="74"/>
      <c r="E42" s="74"/>
      <c r="F42" s="74"/>
      <c r="G42" s="89">
        <v>1.6E-2</v>
      </c>
      <c r="H42" s="89">
        <v>3.4000000000000002E-2</v>
      </c>
      <c r="I42" s="89">
        <v>0.04</v>
      </c>
      <c r="J42" s="89">
        <v>4.4999999999999998E-2</v>
      </c>
      <c r="K42" s="88">
        <v>3.5000000000000003E-2</v>
      </c>
      <c r="L42" s="88">
        <v>3.5000000000000003E-2</v>
      </c>
      <c r="M42" s="88">
        <v>3.5000000000000003E-2</v>
      </c>
      <c r="N42" s="88">
        <v>3.5000000000000003E-2</v>
      </c>
      <c r="O42" s="88">
        <v>3.5000000000000003E-2</v>
      </c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spans="1:26" x14ac:dyDescent="0.2">
      <c r="A43" s="74"/>
      <c r="B43" s="74" t="s">
        <v>128</v>
      </c>
      <c r="C43" s="74"/>
      <c r="D43" s="74"/>
      <c r="E43" s="74"/>
      <c r="F43" s="74"/>
      <c r="G43" s="74"/>
      <c r="H43" s="74"/>
      <c r="I43" s="74"/>
      <c r="J43" s="74"/>
      <c r="K43" s="89">
        <v>4.4999999999999998E-2</v>
      </c>
      <c r="L43" s="89">
        <v>4.4999999999999998E-2</v>
      </c>
      <c r="M43" s="89">
        <v>4.4999999999999998E-2</v>
      </c>
      <c r="N43" s="89">
        <v>4.4999999999999998E-2</v>
      </c>
      <c r="O43" s="89">
        <v>4.4999999999999998E-2</v>
      </c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spans="1:26" x14ac:dyDescent="0.2">
      <c r="A44" s="74"/>
      <c r="B44" s="74" t="s">
        <v>129</v>
      </c>
      <c r="C44" s="74"/>
      <c r="D44" s="74"/>
      <c r="E44" s="74"/>
      <c r="F44" s="74"/>
      <c r="G44" s="74"/>
      <c r="H44" s="74"/>
      <c r="I44" s="74"/>
      <c r="J44" s="74"/>
      <c r="K44" s="89">
        <v>0.21</v>
      </c>
      <c r="L44" s="89">
        <v>0.21</v>
      </c>
      <c r="M44" s="89">
        <v>0.21</v>
      </c>
      <c r="N44" s="89">
        <v>0.21</v>
      </c>
      <c r="O44" s="89">
        <v>0.21</v>
      </c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spans="1:26" x14ac:dyDescent="0.2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spans="1:26" x14ac:dyDescent="0.2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spans="1:26" x14ac:dyDescent="0.2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spans="1:26" x14ac:dyDescent="0.2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spans="1:26" x14ac:dyDescent="0.2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spans="1:26" x14ac:dyDescent="0.2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spans="1:26" x14ac:dyDescent="0.2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spans="1:26" x14ac:dyDescent="0.2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spans="1:26" x14ac:dyDescent="0.2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spans="1:26" x14ac:dyDescent="0.2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spans="1:26" x14ac:dyDescent="0.2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spans="1:26" x14ac:dyDescent="0.2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spans="1:26" x14ac:dyDescent="0.2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spans="1:26" x14ac:dyDescent="0.2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spans="1:26" x14ac:dyDescent="0.2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spans="1:26" x14ac:dyDescent="0.2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spans="1:26" x14ac:dyDescent="0.2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spans="1:26" x14ac:dyDescent="0.2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spans="1:26" x14ac:dyDescent="0.2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spans="1:26" x14ac:dyDescent="0.2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spans="1:26" x14ac:dyDescent="0.2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spans="1:26" x14ac:dyDescent="0.2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spans="1:26" x14ac:dyDescent="0.2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spans="1:26" x14ac:dyDescent="0.2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spans="1:26" x14ac:dyDescent="0.2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spans="1:26" x14ac:dyDescent="0.2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spans="1:26" x14ac:dyDescent="0.2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spans="1:26" x14ac:dyDescent="0.2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spans="1:26" x14ac:dyDescent="0.2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spans="1:26" x14ac:dyDescent="0.2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spans="1:26" x14ac:dyDescent="0.2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spans="1:26" x14ac:dyDescent="0.2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spans="1:26" x14ac:dyDescent="0.2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spans="1:26" x14ac:dyDescent="0.2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spans="1:26" x14ac:dyDescent="0.2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spans="1:26" x14ac:dyDescent="0.2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spans="1:26" x14ac:dyDescent="0.2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spans="1:26" x14ac:dyDescent="0.2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spans="1:26" x14ac:dyDescent="0.2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spans="1:26" x14ac:dyDescent="0.2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spans="1:26" x14ac:dyDescent="0.2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spans="1:26" x14ac:dyDescent="0.2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spans="1:26" x14ac:dyDescent="0.2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spans="1:26" x14ac:dyDescent="0.2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spans="1:26" x14ac:dyDescent="0.2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spans="1:26" x14ac:dyDescent="0.2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spans="1:26" x14ac:dyDescent="0.2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spans="1:26" x14ac:dyDescent="0.2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spans="1:26" x14ac:dyDescent="0.2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spans="1:26" x14ac:dyDescent="0.2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spans="1:26" x14ac:dyDescent="0.2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spans="1:26" x14ac:dyDescent="0.2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spans="1:26" x14ac:dyDescent="0.2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spans="1:26" x14ac:dyDescent="0.2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spans="1:26" x14ac:dyDescent="0.2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spans="1:26" x14ac:dyDescent="0.2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spans="1:26" x14ac:dyDescent="0.2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spans="1:26" x14ac:dyDescent="0.2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spans="1:26" x14ac:dyDescent="0.2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spans="1:26" x14ac:dyDescent="0.2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spans="1:26" x14ac:dyDescent="0.2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spans="1:26" x14ac:dyDescent="0.2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spans="1:26" x14ac:dyDescent="0.2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spans="1:26" x14ac:dyDescent="0.2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spans="1:26" x14ac:dyDescent="0.2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spans="1:26" x14ac:dyDescent="0.2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spans="1:26" x14ac:dyDescent="0.2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spans="1:26" x14ac:dyDescent="0.2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spans="1:26" x14ac:dyDescent="0.2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spans="1:26" x14ac:dyDescent="0.2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spans="1:26" x14ac:dyDescent="0.2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spans="1:26" x14ac:dyDescent="0.2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spans="1:26" x14ac:dyDescent="0.2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spans="1:26" x14ac:dyDescent="0.2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spans="1:26" x14ac:dyDescent="0.2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spans="1:26" x14ac:dyDescent="0.2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spans="1:26" x14ac:dyDescent="0.2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spans="1:26" x14ac:dyDescent="0.2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spans="1:26" x14ac:dyDescent="0.2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spans="1:26" x14ac:dyDescent="0.2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spans="1:26" x14ac:dyDescent="0.2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spans="1:26" x14ac:dyDescent="0.2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spans="1:26" x14ac:dyDescent="0.2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spans="1:26" x14ac:dyDescent="0.2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spans="1:26" x14ac:dyDescent="0.2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spans="1:26" x14ac:dyDescent="0.2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spans="1:26" x14ac:dyDescent="0.2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spans="1:26" x14ac:dyDescent="0.2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spans="1:26" x14ac:dyDescent="0.2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spans="1:26" x14ac:dyDescent="0.2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spans="1:26" x14ac:dyDescent="0.2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spans="1:26" x14ac:dyDescent="0.2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spans="1:26" x14ac:dyDescent="0.2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spans="1:26" x14ac:dyDescent="0.2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spans="1:26" x14ac:dyDescent="0.2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spans="1:26" x14ac:dyDescent="0.2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spans="1:26" x14ac:dyDescent="0.2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spans="1:26" x14ac:dyDescent="0.2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spans="1:26" x14ac:dyDescent="0.2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spans="1:26" x14ac:dyDescent="0.2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spans="1:26" x14ac:dyDescent="0.2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spans="1:26" x14ac:dyDescent="0.2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spans="1:26" x14ac:dyDescent="0.2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spans="1:26" x14ac:dyDescent="0.2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spans="1:26" x14ac:dyDescent="0.2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spans="1:26" x14ac:dyDescent="0.2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spans="1:26" x14ac:dyDescent="0.2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spans="1:26" x14ac:dyDescent="0.2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spans="1:26" x14ac:dyDescent="0.2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spans="1:26" x14ac:dyDescent="0.2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spans="1:26" x14ac:dyDescent="0.2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spans="1:26" x14ac:dyDescent="0.2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spans="1:26" x14ac:dyDescent="0.2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spans="1:26" x14ac:dyDescent="0.2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spans="1:26" x14ac:dyDescent="0.2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spans="1:26" x14ac:dyDescent="0.2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spans="1:26" x14ac:dyDescent="0.2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spans="1:26" x14ac:dyDescent="0.2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spans="1:26" x14ac:dyDescent="0.2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spans="1:26" x14ac:dyDescent="0.2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spans="1:26" x14ac:dyDescent="0.2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spans="1:26" x14ac:dyDescent="0.2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spans="1:26" x14ac:dyDescent="0.2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spans="1:26" x14ac:dyDescent="0.2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spans="1:26" x14ac:dyDescent="0.2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spans="1:26" x14ac:dyDescent="0.2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spans="1:26" x14ac:dyDescent="0.2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spans="1:26" x14ac:dyDescent="0.2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spans="1:26" x14ac:dyDescent="0.2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spans="1:26" x14ac:dyDescent="0.2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spans="1:26" x14ac:dyDescent="0.2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spans="1:26" x14ac:dyDescent="0.2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spans="1:26" x14ac:dyDescent="0.2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spans="1:26" x14ac:dyDescent="0.2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spans="1:26" x14ac:dyDescent="0.2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spans="1:26" x14ac:dyDescent="0.2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spans="1:26" x14ac:dyDescent="0.2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spans="1:26" x14ac:dyDescent="0.2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spans="1:26" x14ac:dyDescent="0.2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spans="1:26" x14ac:dyDescent="0.2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spans="1:26" x14ac:dyDescent="0.2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spans="1:26" x14ac:dyDescent="0.2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spans="1:26" x14ac:dyDescent="0.2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spans="1:26" x14ac:dyDescent="0.2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spans="1:26" x14ac:dyDescent="0.2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spans="1:26" x14ac:dyDescent="0.2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spans="1:26" x14ac:dyDescent="0.2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spans="1:26" x14ac:dyDescent="0.2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spans="1:26" x14ac:dyDescent="0.2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spans="1:26" x14ac:dyDescent="0.2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spans="1:26" x14ac:dyDescent="0.2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spans="1:26" x14ac:dyDescent="0.2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spans="1:26" x14ac:dyDescent="0.2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spans="1:26" x14ac:dyDescent="0.2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spans="1:26" x14ac:dyDescent="0.2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spans="1:26" x14ac:dyDescent="0.2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spans="1:26" x14ac:dyDescent="0.2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spans="1:26" x14ac:dyDescent="0.2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spans="1:26" x14ac:dyDescent="0.2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spans="1:26" x14ac:dyDescent="0.2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spans="1:26" x14ac:dyDescent="0.2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spans="1:26" x14ac:dyDescent="0.2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spans="1:26" x14ac:dyDescent="0.2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spans="1:26" x14ac:dyDescent="0.2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spans="1:26" x14ac:dyDescent="0.2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spans="1:26" x14ac:dyDescent="0.2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spans="1:26" x14ac:dyDescent="0.2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spans="1:26" x14ac:dyDescent="0.2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spans="1:26" x14ac:dyDescent="0.2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spans="1:26" x14ac:dyDescent="0.2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spans="1:26" x14ac:dyDescent="0.2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spans="1:26" x14ac:dyDescent="0.2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spans="1:26" x14ac:dyDescent="0.2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spans="1:26" x14ac:dyDescent="0.2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spans="1:26" x14ac:dyDescent="0.2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spans="1:26" x14ac:dyDescent="0.2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spans="1:26" x14ac:dyDescent="0.2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spans="1:26" x14ac:dyDescent="0.2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spans="1:26" x14ac:dyDescent="0.2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spans="1:26" x14ac:dyDescent="0.2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spans="1:26" x14ac:dyDescent="0.2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spans="1:26" x14ac:dyDescent="0.2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spans="1:26" x14ac:dyDescent="0.2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spans="1:26" x14ac:dyDescent="0.2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spans="1:26" x14ac:dyDescent="0.2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spans="1:26" x14ac:dyDescent="0.2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spans="1:26" x14ac:dyDescent="0.2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spans="1:26" x14ac:dyDescent="0.2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spans="1:26" x14ac:dyDescent="0.2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spans="1:26" x14ac:dyDescent="0.2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spans="1:26" x14ac:dyDescent="0.2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spans="1:26" x14ac:dyDescent="0.2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spans="1:26" x14ac:dyDescent="0.2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spans="1:26" x14ac:dyDescent="0.2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spans="1:26" x14ac:dyDescent="0.2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spans="1:26" x14ac:dyDescent="0.2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 spans="1:26" x14ac:dyDescent="0.2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 spans="1:26" x14ac:dyDescent="0.2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 spans="1:26" x14ac:dyDescent="0.2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 spans="1:26" x14ac:dyDescent="0.2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 spans="1:26" x14ac:dyDescent="0.2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 spans="1:26" x14ac:dyDescent="0.2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 spans="1:26" x14ac:dyDescent="0.2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 spans="1:26" x14ac:dyDescent="0.2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 spans="1:26" x14ac:dyDescent="0.2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 spans="1:26" x14ac:dyDescent="0.2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 spans="1:26" x14ac:dyDescent="0.2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 spans="1:26" x14ac:dyDescent="0.2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 spans="1:26" x14ac:dyDescent="0.2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 spans="1:26" x14ac:dyDescent="0.2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 spans="1:26" x14ac:dyDescent="0.2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 spans="1:26" x14ac:dyDescent="0.2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 spans="1:26" x14ac:dyDescent="0.2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 spans="1:26" x14ac:dyDescent="0.2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 spans="1:26" x14ac:dyDescent="0.2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 spans="1:26" x14ac:dyDescent="0.2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 spans="1:26" x14ac:dyDescent="0.2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 spans="1:26" x14ac:dyDescent="0.2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 spans="1:26" x14ac:dyDescent="0.2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 spans="1:26" x14ac:dyDescent="0.2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 spans="1:26" x14ac:dyDescent="0.2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 spans="1:26" x14ac:dyDescent="0.2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 spans="1:26" x14ac:dyDescent="0.2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 spans="1:26" x14ac:dyDescent="0.2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 spans="1:26" x14ac:dyDescent="0.2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 spans="1:26" x14ac:dyDescent="0.2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 spans="1:26" x14ac:dyDescent="0.2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 spans="1:26" x14ac:dyDescent="0.2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 spans="1:26" x14ac:dyDescent="0.2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 spans="1:26" x14ac:dyDescent="0.2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 spans="1:26" x14ac:dyDescent="0.2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 spans="1:26" x14ac:dyDescent="0.2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 spans="1:26" x14ac:dyDescent="0.2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 spans="1:26" x14ac:dyDescent="0.2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 spans="1:26" x14ac:dyDescent="0.2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 spans="1:26" x14ac:dyDescent="0.2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 spans="1:26" x14ac:dyDescent="0.2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 spans="1:26" x14ac:dyDescent="0.2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 spans="1:26" x14ac:dyDescent="0.2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 spans="1:26" x14ac:dyDescent="0.2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 spans="1:26" x14ac:dyDescent="0.2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 spans="1:26" x14ac:dyDescent="0.2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 spans="1:26" x14ac:dyDescent="0.2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 spans="1:26" x14ac:dyDescent="0.2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 spans="1:26" x14ac:dyDescent="0.2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 spans="1:26" x14ac:dyDescent="0.2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 spans="1:26" x14ac:dyDescent="0.2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 spans="1:26" x14ac:dyDescent="0.2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 spans="1:26" x14ac:dyDescent="0.2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spans="1:26" x14ac:dyDescent="0.2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 spans="1:26" x14ac:dyDescent="0.2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 spans="1:26" x14ac:dyDescent="0.2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 spans="1:26" x14ac:dyDescent="0.2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 spans="1:26" x14ac:dyDescent="0.2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 spans="1:26" x14ac:dyDescent="0.2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 spans="1:26" x14ac:dyDescent="0.2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 spans="1:26" x14ac:dyDescent="0.2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spans="1:26" x14ac:dyDescent="0.2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 spans="1:26" x14ac:dyDescent="0.2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 spans="1:26" x14ac:dyDescent="0.2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 spans="1:26" x14ac:dyDescent="0.2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 spans="1:26" x14ac:dyDescent="0.2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 spans="1:26" x14ac:dyDescent="0.2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 spans="1:26" x14ac:dyDescent="0.2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 spans="1:26" x14ac:dyDescent="0.2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 spans="1:26" x14ac:dyDescent="0.2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 spans="1:26" x14ac:dyDescent="0.2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 spans="1:26" x14ac:dyDescent="0.2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 spans="1:26" x14ac:dyDescent="0.2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 spans="1:26" x14ac:dyDescent="0.2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 spans="1:26" x14ac:dyDescent="0.2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 spans="1:26" x14ac:dyDescent="0.2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 spans="1:26" x14ac:dyDescent="0.2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 spans="1:26" x14ac:dyDescent="0.2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 spans="1:26" x14ac:dyDescent="0.2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 spans="1:26" x14ac:dyDescent="0.2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spans="1:26" x14ac:dyDescent="0.2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 spans="1:26" x14ac:dyDescent="0.2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 spans="1:26" x14ac:dyDescent="0.2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spans="1:26" x14ac:dyDescent="0.2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spans="1:26" x14ac:dyDescent="0.2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 spans="1:26" x14ac:dyDescent="0.2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 spans="1:26" x14ac:dyDescent="0.2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 spans="1:26" x14ac:dyDescent="0.2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spans="1:26" x14ac:dyDescent="0.2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 spans="1:26" x14ac:dyDescent="0.2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 spans="1:26" x14ac:dyDescent="0.2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 spans="1:26" x14ac:dyDescent="0.2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 spans="1:26" x14ac:dyDescent="0.2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 spans="1:26" x14ac:dyDescent="0.2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 spans="1:26" x14ac:dyDescent="0.2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 spans="1:26" x14ac:dyDescent="0.2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 spans="1:26" x14ac:dyDescent="0.2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 spans="1:26" x14ac:dyDescent="0.2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 spans="1:26" x14ac:dyDescent="0.2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 spans="1:26" x14ac:dyDescent="0.2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 spans="1:26" x14ac:dyDescent="0.2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 spans="1:26" x14ac:dyDescent="0.2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 spans="1:26" x14ac:dyDescent="0.2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 spans="1:26" x14ac:dyDescent="0.2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 spans="1:26" x14ac:dyDescent="0.2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 spans="1:26" x14ac:dyDescent="0.2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 spans="1:26" x14ac:dyDescent="0.2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spans="1:26" x14ac:dyDescent="0.2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 spans="1:26" x14ac:dyDescent="0.2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 spans="1:26" x14ac:dyDescent="0.2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 spans="1:26" x14ac:dyDescent="0.2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 spans="1:26" x14ac:dyDescent="0.2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 spans="1:26" x14ac:dyDescent="0.2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 spans="1:26" x14ac:dyDescent="0.2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 spans="1:26" x14ac:dyDescent="0.2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 spans="1:26" x14ac:dyDescent="0.2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 spans="1:26" x14ac:dyDescent="0.2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 spans="1:26" x14ac:dyDescent="0.2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 spans="1:26" x14ac:dyDescent="0.2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spans="1:26" x14ac:dyDescent="0.2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 spans="1:26" x14ac:dyDescent="0.2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 spans="1:26" x14ac:dyDescent="0.2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 spans="1:26" x14ac:dyDescent="0.2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 spans="1:26" x14ac:dyDescent="0.2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 spans="1:26" x14ac:dyDescent="0.2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 spans="1:26" x14ac:dyDescent="0.2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 spans="1:26" x14ac:dyDescent="0.2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 spans="1:26" x14ac:dyDescent="0.2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 spans="1:26" x14ac:dyDescent="0.2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 spans="1:26" x14ac:dyDescent="0.2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 spans="1:26" x14ac:dyDescent="0.2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 spans="1:26" x14ac:dyDescent="0.2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 spans="1:26" x14ac:dyDescent="0.2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 spans="1:26" x14ac:dyDescent="0.2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 spans="1:26" x14ac:dyDescent="0.2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 spans="1:26" x14ac:dyDescent="0.2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spans="1:26" x14ac:dyDescent="0.2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 spans="1:26" x14ac:dyDescent="0.2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 spans="1:26" x14ac:dyDescent="0.2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 spans="1:26" x14ac:dyDescent="0.2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spans="1:26" x14ac:dyDescent="0.2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 spans="1:26" x14ac:dyDescent="0.2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spans="1:26" x14ac:dyDescent="0.2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spans="1:26" x14ac:dyDescent="0.2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spans="1:26" x14ac:dyDescent="0.2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spans="1:26" x14ac:dyDescent="0.2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spans="1:26" x14ac:dyDescent="0.2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spans="1:26" x14ac:dyDescent="0.2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spans="1:26" x14ac:dyDescent="0.2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spans="1:26" x14ac:dyDescent="0.2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spans="1:26" x14ac:dyDescent="0.2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spans="1:26" x14ac:dyDescent="0.2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spans="1:26" x14ac:dyDescent="0.2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spans="1:26" x14ac:dyDescent="0.2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spans="1:26" x14ac:dyDescent="0.2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spans="1:26" x14ac:dyDescent="0.2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spans="1:26" x14ac:dyDescent="0.2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spans="1:26" x14ac:dyDescent="0.2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spans="1:26" x14ac:dyDescent="0.2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spans="1:26" x14ac:dyDescent="0.2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spans="1:26" x14ac:dyDescent="0.2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spans="1:26" x14ac:dyDescent="0.2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spans="1:26" x14ac:dyDescent="0.2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spans="1:26" x14ac:dyDescent="0.2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spans="1:26" x14ac:dyDescent="0.2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spans="1:26" x14ac:dyDescent="0.2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spans="1:26" x14ac:dyDescent="0.2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spans="1:26" x14ac:dyDescent="0.2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spans="1:26" x14ac:dyDescent="0.2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spans="1:26" x14ac:dyDescent="0.2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spans="1:26" x14ac:dyDescent="0.2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spans="1:26" x14ac:dyDescent="0.2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spans="1:26" x14ac:dyDescent="0.2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spans="1:26" x14ac:dyDescent="0.2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spans="1:26" x14ac:dyDescent="0.2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spans="1:26" x14ac:dyDescent="0.2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spans="1:26" x14ac:dyDescent="0.2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spans="1:26" x14ac:dyDescent="0.2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spans="1:26" x14ac:dyDescent="0.2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spans="1:26" x14ac:dyDescent="0.2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spans="1:26" x14ac:dyDescent="0.2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spans="1:26" x14ac:dyDescent="0.2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spans="1:26" x14ac:dyDescent="0.2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spans="1:26" x14ac:dyDescent="0.2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spans="1:26" x14ac:dyDescent="0.2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spans="1:26" x14ac:dyDescent="0.2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spans="1:26" x14ac:dyDescent="0.2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spans="1:26" x14ac:dyDescent="0.2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spans="1:26" x14ac:dyDescent="0.2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spans="1:26" x14ac:dyDescent="0.2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spans="1:26" x14ac:dyDescent="0.2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spans="1:26" x14ac:dyDescent="0.2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spans="1:26" x14ac:dyDescent="0.2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spans="1:26" x14ac:dyDescent="0.2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spans="1:26" x14ac:dyDescent="0.2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spans="1:26" x14ac:dyDescent="0.2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spans="1:26" x14ac:dyDescent="0.2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spans="1:26" x14ac:dyDescent="0.2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spans="1:26" x14ac:dyDescent="0.2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spans="1:26" x14ac:dyDescent="0.2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spans="1:26" x14ac:dyDescent="0.2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spans="1:26" x14ac:dyDescent="0.2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spans="1:26" x14ac:dyDescent="0.2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spans="1:26" x14ac:dyDescent="0.2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spans="1:26" x14ac:dyDescent="0.2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spans="1:26" x14ac:dyDescent="0.2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spans="1:26" x14ac:dyDescent="0.2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spans="1:26" x14ac:dyDescent="0.2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spans="1:26" x14ac:dyDescent="0.2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spans="1:26" x14ac:dyDescent="0.2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spans="1:26" x14ac:dyDescent="0.2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spans="1:26" x14ac:dyDescent="0.2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spans="1:26" x14ac:dyDescent="0.2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spans="1:26" x14ac:dyDescent="0.2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spans="1:26" x14ac:dyDescent="0.2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spans="1:26" x14ac:dyDescent="0.2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spans="1:26" x14ac:dyDescent="0.2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spans="1:26" x14ac:dyDescent="0.2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spans="1:26" x14ac:dyDescent="0.2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spans="1:26" x14ac:dyDescent="0.2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spans="1:26" x14ac:dyDescent="0.2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spans="1:26" x14ac:dyDescent="0.2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spans="1:26" x14ac:dyDescent="0.2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spans="1:26" x14ac:dyDescent="0.2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spans="1:26" x14ac:dyDescent="0.2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spans="1:26" x14ac:dyDescent="0.2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spans="1:26" x14ac:dyDescent="0.2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spans="1:26" x14ac:dyDescent="0.2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spans="1:26" x14ac:dyDescent="0.2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spans="1:26" x14ac:dyDescent="0.2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spans="1:26" x14ac:dyDescent="0.2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spans="1:26" x14ac:dyDescent="0.2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spans="1:26" x14ac:dyDescent="0.2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spans="1:26" x14ac:dyDescent="0.2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spans="1:26" x14ac:dyDescent="0.2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spans="1:26" x14ac:dyDescent="0.2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spans="1:26" x14ac:dyDescent="0.2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spans="1:26" x14ac:dyDescent="0.2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spans="1:26" x14ac:dyDescent="0.2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spans="1:26" x14ac:dyDescent="0.2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spans="1:26" x14ac:dyDescent="0.2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spans="1:26" x14ac:dyDescent="0.2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spans="1:26" x14ac:dyDescent="0.2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spans="1:26" x14ac:dyDescent="0.2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spans="1:26" x14ac:dyDescent="0.2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spans="1:26" x14ac:dyDescent="0.2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spans="1:26" x14ac:dyDescent="0.2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spans="1:26" x14ac:dyDescent="0.2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spans="1:26" x14ac:dyDescent="0.2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spans="1:26" x14ac:dyDescent="0.2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spans="1:26" x14ac:dyDescent="0.2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spans="1:26" x14ac:dyDescent="0.2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spans="1:26" x14ac:dyDescent="0.2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spans="1:26" x14ac:dyDescent="0.2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spans="1:26" x14ac:dyDescent="0.2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spans="1:26" x14ac:dyDescent="0.2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spans="1:26" x14ac:dyDescent="0.2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spans="1:26" x14ac:dyDescent="0.2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spans="1:26" x14ac:dyDescent="0.2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spans="1:26" x14ac:dyDescent="0.2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spans="1:26" x14ac:dyDescent="0.2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spans="1:26" x14ac:dyDescent="0.2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spans="1:26" x14ac:dyDescent="0.2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spans="1:26" x14ac:dyDescent="0.2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spans="1:26" x14ac:dyDescent="0.2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spans="1:26" x14ac:dyDescent="0.2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spans="1:26" x14ac:dyDescent="0.2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spans="1:26" x14ac:dyDescent="0.2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spans="1:26" x14ac:dyDescent="0.2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spans="1:26" x14ac:dyDescent="0.2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spans="1:26" x14ac:dyDescent="0.2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spans="1:26" x14ac:dyDescent="0.2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spans="1:26" x14ac:dyDescent="0.2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spans="1:26" x14ac:dyDescent="0.2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spans="1:26" x14ac:dyDescent="0.2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spans="1:26" x14ac:dyDescent="0.2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spans="1:26" x14ac:dyDescent="0.2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spans="1:26" x14ac:dyDescent="0.2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spans="1:26" x14ac:dyDescent="0.2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spans="1:26" x14ac:dyDescent="0.2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spans="1:26" x14ac:dyDescent="0.2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spans="1:26" x14ac:dyDescent="0.2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spans="1:26" x14ac:dyDescent="0.2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spans="1:26" x14ac:dyDescent="0.2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spans="1:26" x14ac:dyDescent="0.2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spans="1:26" x14ac:dyDescent="0.2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spans="1:26" x14ac:dyDescent="0.2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spans="1:26" x14ac:dyDescent="0.2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spans="1:26" x14ac:dyDescent="0.2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spans="1:26" x14ac:dyDescent="0.2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spans="1:26" x14ac:dyDescent="0.2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spans="1:26" x14ac:dyDescent="0.2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spans="1:26" x14ac:dyDescent="0.2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spans="1:26" x14ac:dyDescent="0.2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spans="1:26" x14ac:dyDescent="0.2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spans="1:26" x14ac:dyDescent="0.2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spans="1:26" x14ac:dyDescent="0.2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spans="1:26" x14ac:dyDescent="0.2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spans="1:26" x14ac:dyDescent="0.2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spans="1:26" x14ac:dyDescent="0.2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spans="1:26" x14ac:dyDescent="0.2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spans="1:26" x14ac:dyDescent="0.2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spans="1:26" x14ac:dyDescent="0.2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spans="1:26" x14ac:dyDescent="0.2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spans="1:26" x14ac:dyDescent="0.2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spans="1:26" x14ac:dyDescent="0.2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spans="1:26" x14ac:dyDescent="0.2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spans="1:26" x14ac:dyDescent="0.2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spans="1:26" x14ac:dyDescent="0.2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spans="1:26" x14ac:dyDescent="0.2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spans="1:26" x14ac:dyDescent="0.2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spans="1:26" x14ac:dyDescent="0.2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spans="1:26" x14ac:dyDescent="0.2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spans="1:26" x14ac:dyDescent="0.2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spans="1:26" x14ac:dyDescent="0.2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spans="1:26" x14ac:dyDescent="0.2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spans="1:26" x14ac:dyDescent="0.2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spans="1:26" x14ac:dyDescent="0.2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spans="1:26" x14ac:dyDescent="0.2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spans="1:26" x14ac:dyDescent="0.2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spans="1:26" x14ac:dyDescent="0.2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spans="1:26" x14ac:dyDescent="0.2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spans="1:26" x14ac:dyDescent="0.2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spans="1:26" x14ac:dyDescent="0.2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spans="1:26" x14ac:dyDescent="0.2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spans="1:26" x14ac:dyDescent="0.2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spans="1:26" x14ac:dyDescent="0.2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spans="1:26" x14ac:dyDescent="0.2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spans="1:26" x14ac:dyDescent="0.2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spans="1:26" x14ac:dyDescent="0.2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spans="1:26" x14ac:dyDescent="0.2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spans="1:26" x14ac:dyDescent="0.2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spans="1:26" x14ac:dyDescent="0.2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spans="1:26" x14ac:dyDescent="0.2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spans="1:26" x14ac:dyDescent="0.2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spans="1:26" x14ac:dyDescent="0.2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spans="1:26" x14ac:dyDescent="0.2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spans="1:26" x14ac:dyDescent="0.2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spans="1:26" x14ac:dyDescent="0.2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spans="1:26" x14ac:dyDescent="0.2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spans="1:26" x14ac:dyDescent="0.2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spans="1:26" x14ac:dyDescent="0.2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spans="1:26" x14ac:dyDescent="0.2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spans="1:26" x14ac:dyDescent="0.2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spans="1:26" x14ac:dyDescent="0.2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spans="1:26" x14ac:dyDescent="0.2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spans="1:26" x14ac:dyDescent="0.2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spans="1:26" x14ac:dyDescent="0.2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spans="1:26" x14ac:dyDescent="0.2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spans="1:26" x14ac:dyDescent="0.2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spans="1:26" x14ac:dyDescent="0.2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spans="1:26" x14ac:dyDescent="0.2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spans="1:26" x14ac:dyDescent="0.2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spans="1:26" x14ac:dyDescent="0.2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spans="1:26" x14ac:dyDescent="0.2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spans="1:26" x14ac:dyDescent="0.2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spans="1:26" x14ac:dyDescent="0.2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spans="1:26" x14ac:dyDescent="0.2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spans="1:26" x14ac:dyDescent="0.2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spans="1:26" x14ac:dyDescent="0.2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spans="1:26" x14ac:dyDescent="0.2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spans="1:26" x14ac:dyDescent="0.2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spans="1:26" x14ac:dyDescent="0.2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spans="1:26" x14ac:dyDescent="0.2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spans="1:26" x14ac:dyDescent="0.2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spans="1:26" x14ac:dyDescent="0.2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spans="1:26" x14ac:dyDescent="0.2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spans="1:26" x14ac:dyDescent="0.2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spans="1:26" x14ac:dyDescent="0.2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spans="1:26" x14ac:dyDescent="0.2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spans="1:26" x14ac:dyDescent="0.2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spans="1:26" x14ac:dyDescent="0.2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spans="1:26" x14ac:dyDescent="0.2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spans="1:26" x14ac:dyDescent="0.2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spans="1:26" x14ac:dyDescent="0.2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spans="1:26" x14ac:dyDescent="0.2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spans="1:26" x14ac:dyDescent="0.2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spans="1:26" x14ac:dyDescent="0.2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spans="1:26" x14ac:dyDescent="0.2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spans="1:26" x14ac:dyDescent="0.2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spans="1:26" x14ac:dyDescent="0.2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spans="1:26" x14ac:dyDescent="0.2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spans="1:26" x14ac:dyDescent="0.2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spans="1:26" x14ac:dyDescent="0.2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spans="1:26" x14ac:dyDescent="0.2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spans="1:26" x14ac:dyDescent="0.2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spans="1:26" x14ac:dyDescent="0.2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spans="1:26" x14ac:dyDescent="0.2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spans="1:26" x14ac:dyDescent="0.2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spans="1:26" x14ac:dyDescent="0.2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spans="1:26" x14ac:dyDescent="0.2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spans="1:26" x14ac:dyDescent="0.2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spans="1:26" x14ac:dyDescent="0.2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spans="1:26" x14ac:dyDescent="0.2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spans="1:26" x14ac:dyDescent="0.2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spans="1:26" x14ac:dyDescent="0.2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spans="1:26" x14ac:dyDescent="0.2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spans="1:26" x14ac:dyDescent="0.2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spans="1:26" x14ac:dyDescent="0.2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spans="1:26" x14ac:dyDescent="0.2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spans="1:26" x14ac:dyDescent="0.2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spans="1:26" x14ac:dyDescent="0.2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spans="1:26" x14ac:dyDescent="0.2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spans="1:26" x14ac:dyDescent="0.2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spans="1:26" x14ac:dyDescent="0.2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spans="1:26" x14ac:dyDescent="0.2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spans="1:26" x14ac:dyDescent="0.2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spans="1:26" x14ac:dyDescent="0.2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spans="1:26" x14ac:dyDescent="0.2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spans="1:26" x14ac:dyDescent="0.2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spans="1:26" x14ac:dyDescent="0.2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spans="1:26" x14ac:dyDescent="0.2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spans="1:26" x14ac:dyDescent="0.2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spans="1:26" x14ac:dyDescent="0.2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spans="1:26" x14ac:dyDescent="0.2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spans="1:26" x14ac:dyDescent="0.2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spans="1:26" x14ac:dyDescent="0.2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spans="1:26" x14ac:dyDescent="0.2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spans="1:26" x14ac:dyDescent="0.2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spans="1:26" x14ac:dyDescent="0.2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spans="1:26" x14ac:dyDescent="0.2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spans="1:26" x14ac:dyDescent="0.2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spans="1:26" x14ac:dyDescent="0.2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spans="1:26" x14ac:dyDescent="0.2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spans="1:26" x14ac:dyDescent="0.2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spans="1:26" x14ac:dyDescent="0.2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spans="1:26" x14ac:dyDescent="0.2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spans="1:26" x14ac:dyDescent="0.2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spans="1:26" x14ac:dyDescent="0.2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spans="1:26" x14ac:dyDescent="0.2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spans="1:26" x14ac:dyDescent="0.2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spans="1:26" x14ac:dyDescent="0.2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spans="1:26" x14ac:dyDescent="0.2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spans="1:26" x14ac:dyDescent="0.2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spans="1:26" x14ac:dyDescent="0.2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spans="1:26" x14ac:dyDescent="0.2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spans="1:26" x14ac:dyDescent="0.2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spans="1:26" x14ac:dyDescent="0.2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spans="1:26" x14ac:dyDescent="0.2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spans="1:26" x14ac:dyDescent="0.2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spans="1:26" x14ac:dyDescent="0.2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spans="1:26" x14ac:dyDescent="0.2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spans="1:26" x14ac:dyDescent="0.2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spans="1:26" x14ac:dyDescent="0.2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spans="1:26" x14ac:dyDescent="0.2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spans="1:26" x14ac:dyDescent="0.2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spans="1:26" x14ac:dyDescent="0.2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spans="1:26" x14ac:dyDescent="0.2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spans="1:26" x14ac:dyDescent="0.2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spans="1:26" x14ac:dyDescent="0.2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spans="1:26" x14ac:dyDescent="0.2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spans="1:26" x14ac:dyDescent="0.2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spans="1:26" x14ac:dyDescent="0.2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spans="1:26" x14ac:dyDescent="0.2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spans="1:26" x14ac:dyDescent="0.2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spans="1:26" x14ac:dyDescent="0.2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spans="1:26" x14ac:dyDescent="0.2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spans="1:26" x14ac:dyDescent="0.2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spans="1:26" x14ac:dyDescent="0.2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spans="1:26" x14ac:dyDescent="0.2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spans="1:26" x14ac:dyDescent="0.2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spans="1:26" x14ac:dyDescent="0.2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spans="1:26" x14ac:dyDescent="0.2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spans="1:26" x14ac:dyDescent="0.2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spans="1:26" x14ac:dyDescent="0.2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spans="1:26" x14ac:dyDescent="0.2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spans="1:26" x14ac:dyDescent="0.2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spans="1:26" x14ac:dyDescent="0.2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spans="1:26" x14ac:dyDescent="0.2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spans="1:26" x14ac:dyDescent="0.2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spans="1:26" x14ac:dyDescent="0.2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spans="1:26" x14ac:dyDescent="0.2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spans="1:26" x14ac:dyDescent="0.2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spans="1:26" x14ac:dyDescent="0.2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spans="1:26" x14ac:dyDescent="0.2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spans="1:26" x14ac:dyDescent="0.2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spans="1:26" x14ac:dyDescent="0.2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spans="1:26" x14ac:dyDescent="0.2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spans="1:26" x14ac:dyDescent="0.2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spans="1:26" x14ac:dyDescent="0.2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spans="1:26" x14ac:dyDescent="0.2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spans="1:26" x14ac:dyDescent="0.2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spans="1:26" x14ac:dyDescent="0.2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spans="1:26" x14ac:dyDescent="0.2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spans="1:26" x14ac:dyDescent="0.2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spans="1:26" x14ac:dyDescent="0.2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spans="1:26" x14ac:dyDescent="0.2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spans="1:26" x14ac:dyDescent="0.2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spans="1:26" x14ac:dyDescent="0.2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spans="1:26" x14ac:dyDescent="0.2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spans="1:26" x14ac:dyDescent="0.2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spans="1:26" x14ac:dyDescent="0.2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spans="1:26" x14ac:dyDescent="0.2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spans="1:26" x14ac:dyDescent="0.2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spans="1:26" x14ac:dyDescent="0.2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spans="1:26" x14ac:dyDescent="0.2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spans="1:26" x14ac:dyDescent="0.2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spans="1:26" x14ac:dyDescent="0.2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spans="1:26" x14ac:dyDescent="0.2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spans="1:26" x14ac:dyDescent="0.2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spans="1:26" x14ac:dyDescent="0.2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spans="1:26" x14ac:dyDescent="0.2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spans="1:26" x14ac:dyDescent="0.2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spans="1:26" x14ac:dyDescent="0.2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spans="1:26" x14ac:dyDescent="0.2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spans="1:26" x14ac:dyDescent="0.2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spans="1:26" x14ac:dyDescent="0.2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spans="1:26" x14ac:dyDescent="0.2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spans="1:26" x14ac:dyDescent="0.2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spans="1:26" x14ac:dyDescent="0.2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spans="1:26" x14ac:dyDescent="0.2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spans="1:26" x14ac:dyDescent="0.2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spans="1:26" x14ac:dyDescent="0.2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spans="1:26" x14ac:dyDescent="0.2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spans="1:26" x14ac:dyDescent="0.2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spans="1:26" x14ac:dyDescent="0.2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spans="1:26" x14ac:dyDescent="0.2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spans="1:26" x14ac:dyDescent="0.2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spans="1:26" x14ac:dyDescent="0.2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spans="1:26" x14ac:dyDescent="0.2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spans="1:26" x14ac:dyDescent="0.2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spans="1:26" x14ac:dyDescent="0.2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spans="1:26" x14ac:dyDescent="0.2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spans="1:26" x14ac:dyDescent="0.2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spans="1:26" x14ac:dyDescent="0.2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spans="1:26" x14ac:dyDescent="0.2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spans="1:26" x14ac:dyDescent="0.2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spans="1:26" x14ac:dyDescent="0.2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spans="1:26" x14ac:dyDescent="0.2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spans="1:26" x14ac:dyDescent="0.2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spans="1:26" x14ac:dyDescent="0.2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spans="1:26" x14ac:dyDescent="0.2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spans="1:26" x14ac:dyDescent="0.2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spans="1:26" x14ac:dyDescent="0.2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spans="1:26" x14ac:dyDescent="0.2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spans="1:26" x14ac:dyDescent="0.2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spans="1:26" x14ac:dyDescent="0.2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spans="1:26" x14ac:dyDescent="0.2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spans="1:26" x14ac:dyDescent="0.2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spans="1:26" x14ac:dyDescent="0.2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spans="1:26" x14ac:dyDescent="0.2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spans="1:26" x14ac:dyDescent="0.2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spans="1:26" x14ac:dyDescent="0.2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spans="1:26" x14ac:dyDescent="0.2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spans="1:26" x14ac:dyDescent="0.2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spans="1:26" x14ac:dyDescent="0.2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spans="1:26" x14ac:dyDescent="0.2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spans="1:26" x14ac:dyDescent="0.2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spans="1:26" x14ac:dyDescent="0.2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spans="1:26" x14ac:dyDescent="0.2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spans="1:26" x14ac:dyDescent="0.2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spans="1:26" x14ac:dyDescent="0.2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spans="1:26" x14ac:dyDescent="0.2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spans="1:26" x14ac:dyDescent="0.2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spans="1:26" x14ac:dyDescent="0.2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spans="1:26" x14ac:dyDescent="0.2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spans="1:26" x14ac:dyDescent="0.2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spans="1:26" x14ac:dyDescent="0.2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 spans="1:26" x14ac:dyDescent="0.2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 spans="1:26" x14ac:dyDescent="0.2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 spans="1:26" x14ac:dyDescent="0.2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 spans="1:26" x14ac:dyDescent="0.2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 spans="1:26" x14ac:dyDescent="0.2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 spans="1:26" x14ac:dyDescent="0.2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 spans="1:26" x14ac:dyDescent="0.2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 spans="1:26" x14ac:dyDescent="0.2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 spans="1:26" x14ac:dyDescent="0.2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 spans="1:26" x14ac:dyDescent="0.2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 spans="1:26" x14ac:dyDescent="0.2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 spans="1:26" x14ac:dyDescent="0.2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 spans="1:26" x14ac:dyDescent="0.2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 spans="1:26" x14ac:dyDescent="0.2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 spans="1:26" x14ac:dyDescent="0.2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 spans="1:26" x14ac:dyDescent="0.2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 spans="1:26" x14ac:dyDescent="0.2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 spans="1:26" x14ac:dyDescent="0.2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 spans="1:26" x14ac:dyDescent="0.2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 spans="1:26" x14ac:dyDescent="0.2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 spans="1:26" x14ac:dyDescent="0.2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 spans="1:26" x14ac:dyDescent="0.2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 spans="1:26" x14ac:dyDescent="0.2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 spans="1:26" x14ac:dyDescent="0.2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 spans="1:26" x14ac:dyDescent="0.2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 spans="1:26" x14ac:dyDescent="0.2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 spans="1:26" x14ac:dyDescent="0.2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 spans="1:26" x14ac:dyDescent="0.2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 spans="1:26" x14ac:dyDescent="0.2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 spans="1:26" x14ac:dyDescent="0.2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 spans="1:26" x14ac:dyDescent="0.2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 spans="1:26" x14ac:dyDescent="0.2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 spans="1:26" x14ac:dyDescent="0.2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 spans="1:26" x14ac:dyDescent="0.2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 spans="1:26" x14ac:dyDescent="0.2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 spans="1:26" x14ac:dyDescent="0.2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 spans="1:26" x14ac:dyDescent="0.2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 spans="1:26" x14ac:dyDescent="0.2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 spans="1:26" x14ac:dyDescent="0.2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 spans="1:26" x14ac:dyDescent="0.2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 spans="1:26" x14ac:dyDescent="0.2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 spans="1:26" x14ac:dyDescent="0.2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 spans="1:26" x14ac:dyDescent="0.2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 spans="1:26" x14ac:dyDescent="0.2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 spans="1:26" x14ac:dyDescent="0.2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 spans="1:26" x14ac:dyDescent="0.2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 spans="1:26" x14ac:dyDescent="0.2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 spans="1:26" x14ac:dyDescent="0.2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 spans="1:26" x14ac:dyDescent="0.2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 spans="1:26" x14ac:dyDescent="0.2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 spans="1:26" x14ac:dyDescent="0.2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 spans="1:26" x14ac:dyDescent="0.2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 spans="1:26" x14ac:dyDescent="0.2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 spans="1:26" x14ac:dyDescent="0.2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 spans="1:26" x14ac:dyDescent="0.2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 spans="1:26" x14ac:dyDescent="0.2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 spans="1:26" x14ac:dyDescent="0.2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 spans="1:26" x14ac:dyDescent="0.2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 spans="1:26" x14ac:dyDescent="0.2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 spans="1:26" x14ac:dyDescent="0.2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 spans="1:26" x14ac:dyDescent="0.2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 spans="1:26" x14ac:dyDescent="0.2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 spans="1:26" x14ac:dyDescent="0.2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 spans="1:26" x14ac:dyDescent="0.2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 spans="1:26" x14ac:dyDescent="0.2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 spans="1:26" x14ac:dyDescent="0.2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 spans="1:26" x14ac:dyDescent="0.2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 spans="1:26" x14ac:dyDescent="0.2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 spans="1:26" x14ac:dyDescent="0.2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 spans="1:26" x14ac:dyDescent="0.2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 spans="1:26" x14ac:dyDescent="0.2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 spans="1:26" x14ac:dyDescent="0.2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 spans="1:26" x14ac:dyDescent="0.2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 spans="1:26" x14ac:dyDescent="0.2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 spans="1:26" x14ac:dyDescent="0.2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 spans="1:26" x14ac:dyDescent="0.2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 spans="1:26" x14ac:dyDescent="0.2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 spans="1:26" x14ac:dyDescent="0.2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 spans="1:26" x14ac:dyDescent="0.2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 spans="1:26" x14ac:dyDescent="0.2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 spans="1:26" x14ac:dyDescent="0.2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 spans="1:26" x14ac:dyDescent="0.2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 spans="1:26" x14ac:dyDescent="0.2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 spans="1:26" x14ac:dyDescent="0.2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 spans="1:26" x14ac:dyDescent="0.2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 spans="1:26" x14ac:dyDescent="0.2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 spans="1:26" x14ac:dyDescent="0.2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 spans="1:26" x14ac:dyDescent="0.2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 spans="1:26" x14ac:dyDescent="0.2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 spans="1:26" x14ac:dyDescent="0.2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 spans="1:26" x14ac:dyDescent="0.2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 spans="1:26" x14ac:dyDescent="0.2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 spans="1:26" x14ac:dyDescent="0.2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 spans="1:26" x14ac:dyDescent="0.2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 spans="1:26" x14ac:dyDescent="0.2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 spans="1:26" x14ac:dyDescent="0.2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 spans="1:26" x14ac:dyDescent="0.2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 spans="1:26" x14ac:dyDescent="0.2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 spans="1:26" x14ac:dyDescent="0.2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 spans="1:26" x14ac:dyDescent="0.2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 spans="1:26" x14ac:dyDescent="0.2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 spans="1:26" x14ac:dyDescent="0.2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 spans="1:26" x14ac:dyDescent="0.2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 spans="1:26" x14ac:dyDescent="0.2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 spans="1:26" x14ac:dyDescent="0.2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 spans="1:26" x14ac:dyDescent="0.2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 spans="1:26" x14ac:dyDescent="0.2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 spans="1:26" x14ac:dyDescent="0.2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 spans="1:26" x14ac:dyDescent="0.2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 spans="1:26" x14ac:dyDescent="0.2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 spans="1:26" x14ac:dyDescent="0.2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 spans="1:26" x14ac:dyDescent="0.2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 spans="1:26" x14ac:dyDescent="0.2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 spans="1:26" x14ac:dyDescent="0.2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 spans="1:26" x14ac:dyDescent="0.2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 spans="1:26" x14ac:dyDescent="0.2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 spans="1:26" x14ac:dyDescent="0.2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 spans="1:26" x14ac:dyDescent="0.2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 spans="1:26" x14ac:dyDescent="0.2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 spans="1:26" x14ac:dyDescent="0.2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 spans="1:26" x14ac:dyDescent="0.2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 spans="1:26" x14ac:dyDescent="0.2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 spans="1:26" x14ac:dyDescent="0.2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 spans="1:26" x14ac:dyDescent="0.2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 spans="1:26" x14ac:dyDescent="0.2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 spans="1:26" x14ac:dyDescent="0.2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 spans="1:26" x14ac:dyDescent="0.2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 spans="1:26" x14ac:dyDescent="0.2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 spans="1:26" x14ac:dyDescent="0.2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 spans="1:26" x14ac:dyDescent="0.2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 spans="1:26" x14ac:dyDescent="0.2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 spans="1:26" x14ac:dyDescent="0.2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 spans="1:26" x14ac:dyDescent="0.2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 spans="1:26" x14ac:dyDescent="0.2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 spans="1:26" x14ac:dyDescent="0.2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 spans="1:26" x14ac:dyDescent="0.2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 spans="1:26" x14ac:dyDescent="0.2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 spans="1:26" x14ac:dyDescent="0.2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 spans="1:26" x14ac:dyDescent="0.2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 spans="1:26" x14ac:dyDescent="0.2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 spans="1:26" x14ac:dyDescent="0.2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 spans="1:26" x14ac:dyDescent="0.2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 spans="1:26" x14ac:dyDescent="0.2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 spans="1:26" x14ac:dyDescent="0.2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 spans="1:26" x14ac:dyDescent="0.2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 spans="1:26" x14ac:dyDescent="0.2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 spans="1:26" x14ac:dyDescent="0.2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 spans="1:26" x14ac:dyDescent="0.2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 spans="1:26" x14ac:dyDescent="0.2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 spans="1:26" x14ac:dyDescent="0.2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 spans="1:26" x14ac:dyDescent="0.2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 spans="1:26" x14ac:dyDescent="0.2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 spans="1:26" x14ac:dyDescent="0.2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 spans="1:26" x14ac:dyDescent="0.2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 spans="1:26" x14ac:dyDescent="0.2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 spans="1:26" x14ac:dyDescent="0.2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 spans="1:26" x14ac:dyDescent="0.2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 spans="1:26" x14ac:dyDescent="0.2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 spans="1:26" x14ac:dyDescent="0.2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 spans="1:26" x14ac:dyDescent="0.2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 spans="1:26" x14ac:dyDescent="0.2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 spans="1:26" x14ac:dyDescent="0.2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 spans="1:26" x14ac:dyDescent="0.2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 spans="1:26" x14ac:dyDescent="0.2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 spans="1:26" x14ac:dyDescent="0.2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 spans="1:26" x14ac:dyDescent="0.2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 spans="1:26" x14ac:dyDescent="0.2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 spans="1:26" x14ac:dyDescent="0.2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 spans="1:26" x14ac:dyDescent="0.2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 spans="1:26" x14ac:dyDescent="0.2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 spans="1:26" x14ac:dyDescent="0.2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 spans="1:26" x14ac:dyDescent="0.2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 spans="1:26" x14ac:dyDescent="0.2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 spans="1:26" x14ac:dyDescent="0.2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 spans="1:26" x14ac:dyDescent="0.2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 spans="1:26" x14ac:dyDescent="0.2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 spans="1:26" x14ac:dyDescent="0.2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 spans="1:26" x14ac:dyDescent="0.2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 spans="1:26" x14ac:dyDescent="0.2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 spans="1:26" x14ac:dyDescent="0.2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 spans="1:26" x14ac:dyDescent="0.2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 spans="1:26" x14ac:dyDescent="0.2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 spans="1:26" x14ac:dyDescent="0.2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 spans="1:26" x14ac:dyDescent="0.2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 spans="1:26" x14ac:dyDescent="0.2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 spans="1:26" x14ac:dyDescent="0.2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 spans="1:26" x14ac:dyDescent="0.2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 spans="1:26" x14ac:dyDescent="0.2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 spans="1:26" x14ac:dyDescent="0.2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 spans="1:26" x14ac:dyDescent="0.2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 spans="1:26" x14ac:dyDescent="0.2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 spans="1:26" x14ac:dyDescent="0.2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 spans="1:26" x14ac:dyDescent="0.2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 spans="1:26" x14ac:dyDescent="0.2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 spans="1:26" x14ac:dyDescent="0.2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 spans="1:26" x14ac:dyDescent="0.2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</row>
    <row r="995" spans="1:26" x14ac:dyDescent="0.2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</row>
    <row r="996" spans="1:26" x14ac:dyDescent="0.2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</row>
    <row r="997" spans="1:26" x14ac:dyDescent="0.2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</row>
    <row r="998" spans="1:26" x14ac:dyDescent="0.2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</row>
    <row r="999" spans="1:26" x14ac:dyDescent="0.2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</row>
    <row r="1000" spans="1:26" x14ac:dyDescent="0.2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494A3-EDAD-E24D-BC4E-EEDFA08DA682}">
  <dimension ref="A1:Z1000"/>
  <sheetViews>
    <sheetView topLeftCell="A11" workbookViewId="0">
      <selection activeCell="D11" sqref="D11"/>
    </sheetView>
  </sheetViews>
  <sheetFormatPr baseColWidth="10" defaultRowHeight="16" x14ac:dyDescent="0.2"/>
  <cols>
    <col min="1" max="1" width="2.83203125" customWidth="1"/>
  </cols>
  <sheetData>
    <row r="1" spans="1:26" x14ac:dyDescent="0.2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1:26" ht="27" x14ac:dyDescent="0.35">
      <c r="A2" s="74"/>
      <c r="B2" s="75" t="s">
        <v>130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spans="1:26" x14ac:dyDescent="0.2">
      <c r="A3" s="74"/>
      <c r="B3" s="76" t="s">
        <v>82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spans="1:26" x14ac:dyDescent="0.2">
      <c r="A4" s="74"/>
      <c r="B4" s="74"/>
      <c r="C4" s="74"/>
      <c r="D4" s="74"/>
      <c r="E4" s="74"/>
      <c r="F4" s="76" t="s">
        <v>83</v>
      </c>
      <c r="G4" s="74"/>
      <c r="H4" s="74"/>
      <c r="I4" s="74"/>
      <c r="J4" s="74"/>
      <c r="K4" s="76" t="s">
        <v>84</v>
      </c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x14ac:dyDescent="0.2">
      <c r="A5" s="74"/>
      <c r="B5" s="9" t="s">
        <v>85</v>
      </c>
      <c r="C5" s="74"/>
      <c r="D5" s="74"/>
      <c r="E5" s="74"/>
      <c r="F5" s="9" t="s">
        <v>86</v>
      </c>
      <c r="G5" s="9" t="s">
        <v>87</v>
      </c>
      <c r="H5" s="9" t="s">
        <v>88</v>
      </c>
      <c r="I5" s="9" t="s">
        <v>89</v>
      </c>
      <c r="J5" s="9" t="s">
        <v>90</v>
      </c>
      <c r="K5" s="9" t="s">
        <v>91</v>
      </c>
      <c r="L5" s="9" t="s">
        <v>92</v>
      </c>
      <c r="M5" s="9" t="s">
        <v>93</v>
      </c>
      <c r="N5" s="9" t="s">
        <v>94</v>
      </c>
      <c r="O5" s="9" t="s">
        <v>95</v>
      </c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x14ac:dyDescent="0.2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x14ac:dyDescent="0.2">
      <c r="A7" s="74"/>
      <c r="B7" s="77" t="s">
        <v>131</v>
      </c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x14ac:dyDescent="0.2">
      <c r="A8" s="74"/>
      <c r="B8" s="74" t="s">
        <v>132</v>
      </c>
      <c r="C8" s="74"/>
      <c r="D8" s="74"/>
      <c r="E8" s="74"/>
      <c r="F8" s="81">
        <v>20945</v>
      </c>
      <c r="G8" s="81">
        <v>21879</v>
      </c>
      <c r="H8" s="81">
        <v>24048</v>
      </c>
      <c r="I8" s="81">
        <v>23466</v>
      </c>
      <c r="J8" s="81">
        <v>30708</v>
      </c>
      <c r="K8" s="85">
        <v>20000</v>
      </c>
      <c r="L8" s="85">
        <v>20398</v>
      </c>
      <c r="M8" s="85">
        <v>33501</v>
      </c>
      <c r="N8" s="85">
        <v>63911</v>
      </c>
      <c r="O8" s="85">
        <v>116867</v>
      </c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x14ac:dyDescent="0.2">
      <c r="A9" s="74"/>
      <c r="B9" s="74" t="s">
        <v>133</v>
      </c>
      <c r="C9" s="74"/>
      <c r="D9" s="74"/>
      <c r="E9" s="74"/>
      <c r="F9" s="81">
        <v>118704</v>
      </c>
      <c r="G9" s="81">
        <v>91883</v>
      </c>
      <c r="H9" s="81">
        <v>86868</v>
      </c>
      <c r="I9" s="81">
        <v>72191</v>
      </c>
      <c r="J9" s="81">
        <v>96135</v>
      </c>
      <c r="K9" s="85">
        <v>74280</v>
      </c>
      <c r="L9" s="85">
        <v>74280</v>
      </c>
      <c r="M9" s="85">
        <v>74280</v>
      </c>
      <c r="N9" s="85">
        <v>74280</v>
      </c>
      <c r="O9" s="85">
        <v>74280</v>
      </c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 spans="1:26" x14ac:dyDescent="0.2">
      <c r="A10" s="74"/>
      <c r="B10" s="74" t="s">
        <v>134</v>
      </c>
      <c r="C10" s="74"/>
      <c r="D10" s="74"/>
      <c r="E10" s="74"/>
      <c r="F10" s="81">
        <v>39304</v>
      </c>
      <c r="G10" s="81">
        <v>40258</v>
      </c>
      <c r="H10" s="81">
        <v>47964</v>
      </c>
      <c r="I10" s="81">
        <v>52340</v>
      </c>
      <c r="J10" s="81">
        <v>62886</v>
      </c>
      <c r="K10" s="85">
        <v>77640</v>
      </c>
      <c r="L10" s="85">
        <v>94290</v>
      </c>
      <c r="M10" s="85">
        <v>112484</v>
      </c>
      <c r="N10" s="85">
        <v>131774</v>
      </c>
      <c r="O10" s="85">
        <v>151540</v>
      </c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 spans="1:26" x14ac:dyDescent="0.2">
      <c r="A11" s="74"/>
      <c r="B11" s="74" t="s">
        <v>135</v>
      </c>
      <c r="C11" s="74"/>
      <c r="D11" s="74"/>
      <c r="E11" s="74"/>
      <c r="F11" s="81">
        <v>9190</v>
      </c>
      <c r="G11" s="81">
        <v>10775</v>
      </c>
      <c r="H11" s="81">
        <v>12650</v>
      </c>
      <c r="I11" s="81">
        <v>15714</v>
      </c>
      <c r="J11" s="81">
        <v>16309</v>
      </c>
      <c r="K11" s="85">
        <v>19335</v>
      </c>
      <c r="L11" s="85">
        <v>23672</v>
      </c>
      <c r="M11" s="85">
        <v>29428</v>
      </c>
      <c r="N11" s="85">
        <v>36172</v>
      </c>
      <c r="O11" s="85">
        <v>41648</v>
      </c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 spans="1:26" x14ac:dyDescent="0.2">
      <c r="A12" s="74"/>
      <c r="B12" s="9" t="s">
        <v>136</v>
      </c>
      <c r="C12" s="74"/>
      <c r="D12" s="74"/>
      <c r="E12" s="74"/>
      <c r="F12" s="83">
        <v>188143</v>
      </c>
      <c r="G12" s="83">
        <v>164795</v>
      </c>
      <c r="H12" s="83">
        <v>171530</v>
      </c>
      <c r="I12" s="83">
        <v>163711</v>
      </c>
      <c r="J12" s="83">
        <v>206038</v>
      </c>
      <c r="K12" s="83">
        <v>191254</v>
      </c>
      <c r="L12" s="83">
        <v>212639</v>
      </c>
      <c r="M12" s="83">
        <v>249693</v>
      </c>
      <c r="N12" s="83">
        <v>306137</v>
      </c>
      <c r="O12" s="83">
        <v>384335</v>
      </c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 spans="1:26" x14ac:dyDescent="0.2">
      <c r="A13" s="74"/>
      <c r="B13" s="74" t="s">
        <v>137</v>
      </c>
      <c r="C13" s="74"/>
      <c r="D13" s="74"/>
      <c r="E13" s="74"/>
      <c r="F13" s="81">
        <v>110558</v>
      </c>
      <c r="G13" s="81">
        <v>127049</v>
      </c>
      <c r="H13" s="81">
        <v>148436</v>
      </c>
      <c r="I13" s="81">
        <v>184624</v>
      </c>
      <c r="J13" s="81">
        <v>261818</v>
      </c>
      <c r="K13" s="85">
        <v>425859</v>
      </c>
      <c r="L13" s="85">
        <v>579807</v>
      </c>
      <c r="M13" s="85">
        <v>709454</v>
      </c>
      <c r="N13" s="85">
        <v>798064</v>
      </c>
      <c r="O13" s="85">
        <v>827207</v>
      </c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 spans="1:26" x14ac:dyDescent="0.2">
      <c r="A14" s="74"/>
      <c r="B14" s="74" t="s">
        <v>138</v>
      </c>
      <c r="C14" s="74"/>
      <c r="D14" s="74"/>
      <c r="E14" s="74"/>
      <c r="F14" s="81">
        <v>29549</v>
      </c>
      <c r="G14" s="81">
        <v>30492</v>
      </c>
      <c r="H14" s="81">
        <v>31929</v>
      </c>
      <c r="I14" s="81">
        <v>37982</v>
      </c>
      <c r="J14" s="81">
        <v>68687</v>
      </c>
      <c r="K14" s="82">
        <v>68687</v>
      </c>
      <c r="L14" s="82">
        <v>68687</v>
      </c>
      <c r="M14" s="82">
        <v>68687</v>
      </c>
      <c r="N14" s="82">
        <v>68687</v>
      </c>
      <c r="O14" s="82">
        <v>68687</v>
      </c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 spans="1:26" x14ac:dyDescent="0.2">
      <c r="A15" s="74"/>
      <c r="B15" s="74" t="s">
        <v>139</v>
      </c>
      <c r="C15" s="74"/>
      <c r="D15" s="74"/>
      <c r="E15" s="74"/>
      <c r="F15" s="81">
        <v>22956</v>
      </c>
      <c r="G15" s="81">
        <v>28960</v>
      </c>
      <c r="H15" s="81">
        <v>29198</v>
      </c>
      <c r="I15" s="81">
        <v>31885</v>
      </c>
      <c r="J15" s="81">
        <v>33380</v>
      </c>
      <c r="K15" s="82">
        <v>33380</v>
      </c>
      <c r="L15" s="82">
        <v>33380</v>
      </c>
      <c r="M15" s="82">
        <v>33380</v>
      </c>
      <c r="N15" s="82">
        <v>33380</v>
      </c>
      <c r="O15" s="82">
        <v>33380</v>
      </c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 spans="1:26" x14ac:dyDescent="0.2">
      <c r="A16" s="74"/>
      <c r="B16" s="74" t="s">
        <v>140</v>
      </c>
      <c r="C16" s="74"/>
      <c r="D16" s="74"/>
      <c r="E16" s="74"/>
      <c r="F16" s="81">
        <v>1284</v>
      </c>
      <c r="G16" s="81">
        <v>5261</v>
      </c>
      <c r="H16" s="81">
        <v>12169</v>
      </c>
      <c r="I16" s="81">
        <v>17180</v>
      </c>
      <c r="J16" s="81">
        <v>9113</v>
      </c>
      <c r="K16" s="82">
        <v>9113</v>
      </c>
      <c r="L16" s="82">
        <v>9113</v>
      </c>
      <c r="M16" s="82">
        <v>9113</v>
      </c>
      <c r="N16" s="82">
        <v>9113</v>
      </c>
      <c r="O16" s="82">
        <v>9113</v>
      </c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 spans="1:26" x14ac:dyDescent="0.2">
      <c r="A17" s="74"/>
      <c r="B17" s="74" t="s">
        <v>141</v>
      </c>
      <c r="C17" s="74"/>
      <c r="D17" s="74"/>
      <c r="E17" s="74"/>
      <c r="F17" s="81">
        <v>6778</v>
      </c>
      <c r="G17" s="81">
        <v>8707</v>
      </c>
      <c r="H17" s="81">
        <v>9130</v>
      </c>
      <c r="I17" s="81">
        <v>14874</v>
      </c>
      <c r="J17" s="81">
        <v>16245</v>
      </c>
      <c r="K17" s="82">
        <v>16245</v>
      </c>
      <c r="L17" s="82">
        <v>16245</v>
      </c>
      <c r="M17" s="82">
        <v>16245</v>
      </c>
      <c r="N17" s="82">
        <v>16245</v>
      </c>
      <c r="O17" s="82">
        <v>16245</v>
      </c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 spans="1:26" x14ac:dyDescent="0.2">
      <c r="A18" s="74"/>
      <c r="B18" s="9" t="s">
        <v>142</v>
      </c>
      <c r="C18" s="74"/>
      <c r="D18" s="74"/>
      <c r="E18" s="74"/>
      <c r="F18" s="83">
        <v>359268</v>
      </c>
      <c r="G18" s="83">
        <v>365264</v>
      </c>
      <c r="H18" s="83">
        <v>402392</v>
      </c>
      <c r="I18" s="83">
        <v>450256</v>
      </c>
      <c r="J18" s="83">
        <v>595281</v>
      </c>
      <c r="K18" s="83">
        <v>744538</v>
      </c>
      <c r="L18" s="83">
        <v>919871</v>
      </c>
      <c r="M18" s="83">
        <v>1086573</v>
      </c>
      <c r="N18" s="83">
        <v>1231626</v>
      </c>
      <c r="O18" s="83">
        <v>1338967</v>
      </c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 spans="1:26" x14ac:dyDescent="0.2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 spans="1:26" x14ac:dyDescent="0.2">
      <c r="A20" s="74"/>
      <c r="B20" s="77" t="s">
        <v>143</v>
      </c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 spans="1:26" x14ac:dyDescent="0.2">
      <c r="A21" s="74"/>
      <c r="B21" s="74" t="s">
        <v>144</v>
      </c>
      <c r="C21" s="74"/>
      <c r="D21" s="74"/>
      <c r="E21" s="74"/>
      <c r="F21" s="81">
        <v>6037</v>
      </c>
      <c r="G21" s="81">
        <v>5128</v>
      </c>
      <c r="H21" s="81">
        <v>7493</v>
      </c>
      <c r="I21" s="81">
        <v>7987</v>
      </c>
      <c r="J21" s="81">
        <v>12200</v>
      </c>
      <c r="K21" s="85">
        <v>14931</v>
      </c>
      <c r="L21" s="85">
        <v>18133</v>
      </c>
      <c r="M21" s="85">
        <v>21632</v>
      </c>
      <c r="N21" s="85">
        <v>25341</v>
      </c>
      <c r="O21" s="85">
        <v>29142</v>
      </c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spans="1:26" x14ac:dyDescent="0.2">
      <c r="A22" s="74"/>
      <c r="B22" s="74" t="s">
        <v>145</v>
      </c>
      <c r="C22" s="74"/>
      <c r="D22" s="74"/>
      <c r="E22" s="74"/>
      <c r="F22" s="81">
        <v>27912</v>
      </c>
      <c r="G22" s="81">
        <v>31743</v>
      </c>
      <c r="H22" s="81">
        <v>36142</v>
      </c>
      <c r="I22" s="81">
        <v>31867</v>
      </c>
      <c r="J22" s="81">
        <v>36484</v>
      </c>
      <c r="K22" s="85">
        <v>45290</v>
      </c>
      <c r="L22" s="85">
        <v>55002</v>
      </c>
      <c r="M22" s="85">
        <v>65616</v>
      </c>
      <c r="N22" s="85">
        <v>76868</v>
      </c>
      <c r="O22" s="85">
        <v>88398</v>
      </c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 spans="1:26" x14ac:dyDescent="0.2">
      <c r="A23" s="74"/>
      <c r="B23" s="74" t="s">
        <v>146</v>
      </c>
      <c r="C23" s="74"/>
      <c r="D23" s="74"/>
      <c r="E23" s="74"/>
      <c r="F23" s="81">
        <v>3288</v>
      </c>
      <c r="G23" s="81">
        <v>3908</v>
      </c>
      <c r="H23" s="81">
        <v>4137</v>
      </c>
      <c r="I23" s="81">
        <v>5036</v>
      </c>
      <c r="J23" s="81">
        <v>6578</v>
      </c>
      <c r="K23" s="85">
        <v>7963</v>
      </c>
      <c r="L23" s="85">
        <v>9671</v>
      </c>
      <c r="M23" s="85">
        <v>11537</v>
      </c>
      <c r="N23" s="85">
        <v>13515</v>
      </c>
      <c r="O23" s="85">
        <v>15543</v>
      </c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 spans="1:26" x14ac:dyDescent="0.2">
      <c r="A24" s="74"/>
      <c r="B24" s="74" t="s">
        <v>147</v>
      </c>
      <c r="C24" s="74"/>
      <c r="D24" s="74"/>
      <c r="E24" s="74"/>
      <c r="F24" s="84" t="s">
        <v>103</v>
      </c>
      <c r="G24" s="81">
        <v>1632</v>
      </c>
      <c r="H24" s="81">
        <v>2748</v>
      </c>
      <c r="I24" s="81">
        <v>2905</v>
      </c>
      <c r="J24" s="84">
        <v>523</v>
      </c>
      <c r="K24" s="74">
        <v>523</v>
      </c>
      <c r="L24" s="74">
        <v>523</v>
      </c>
      <c r="M24" s="74">
        <v>523</v>
      </c>
      <c r="N24" s="74">
        <v>523</v>
      </c>
      <c r="O24" s="74">
        <v>523</v>
      </c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 spans="1:26" x14ac:dyDescent="0.2">
      <c r="A25" s="74"/>
      <c r="B25" s="74" t="s">
        <v>148</v>
      </c>
      <c r="C25" s="74"/>
      <c r="D25" s="74"/>
      <c r="E25" s="74"/>
      <c r="F25" s="81">
        <v>27017</v>
      </c>
      <c r="G25" s="81">
        <v>26889</v>
      </c>
      <c r="H25" s="81">
        <v>30294</v>
      </c>
      <c r="I25" s="81">
        <v>40328</v>
      </c>
      <c r="J25" s="81">
        <v>44964</v>
      </c>
      <c r="K25" s="82">
        <v>44964</v>
      </c>
      <c r="L25" s="82">
        <v>44964</v>
      </c>
      <c r="M25" s="82">
        <v>44964</v>
      </c>
      <c r="N25" s="82">
        <v>44964</v>
      </c>
      <c r="O25" s="82">
        <v>44964</v>
      </c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 spans="1:26" x14ac:dyDescent="0.2">
      <c r="A26" s="74"/>
      <c r="B26" s="74" t="s">
        <v>149</v>
      </c>
      <c r="C26" s="74"/>
      <c r="D26" s="74"/>
      <c r="E26" s="74"/>
      <c r="F26" s="84" t="s">
        <v>103</v>
      </c>
      <c r="G26" s="84" t="s">
        <v>103</v>
      </c>
      <c r="H26" s="81">
        <v>1000</v>
      </c>
      <c r="I26" s="84">
        <v>999</v>
      </c>
      <c r="J26" s="81">
        <v>1996</v>
      </c>
      <c r="K26" s="82">
        <v>1996</v>
      </c>
      <c r="L26" s="82">
        <v>1996</v>
      </c>
      <c r="M26" s="82">
        <v>1996</v>
      </c>
      <c r="N26" s="82">
        <v>1996</v>
      </c>
      <c r="O26" s="82">
        <v>1996</v>
      </c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 spans="1:26" x14ac:dyDescent="0.2">
      <c r="A27" s="74"/>
      <c r="B27" s="9" t="s">
        <v>150</v>
      </c>
      <c r="C27" s="74"/>
      <c r="D27" s="74"/>
      <c r="E27" s="74"/>
      <c r="F27" s="83">
        <v>64254</v>
      </c>
      <c r="G27" s="83">
        <v>69300</v>
      </c>
      <c r="H27" s="83">
        <v>81814</v>
      </c>
      <c r="I27" s="83">
        <v>89122</v>
      </c>
      <c r="J27" s="83">
        <v>102745</v>
      </c>
      <c r="K27" s="83">
        <v>115667</v>
      </c>
      <c r="L27" s="83">
        <v>130289</v>
      </c>
      <c r="M27" s="83">
        <v>146267</v>
      </c>
      <c r="N27" s="83">
        <v>163207</v>
      </c>
      <c r="O27" s="83">
        <v>180566</v>
      </c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 spans="1:26" x14ac:dyDescent="0.2">
      <c r="A28" s="74"/>
      <c r="B28" s="74" t="s">
        <v>151</v>
      </c>
      <c r="C28" s="74"/>
      <c r="D28" s="74"/>
      <c r="E28" s="74"/>
      <c r="F28" s="81">
        <v>12844</v>
      </c>
      <c r="G28" s="81">
        <v>12857</v>
      </c>
      <c r="H28" s="81">
        <v>11870</v>
      </c>
      <c r="I28" s="81">
        <v>10883</v>
      </c>
      <c r="J28" s="81">
        <v>46547</v>
      </c>
      <c r="K28" s="85">
        <v>46547</v>
      </c>
      <c r="L28" s="85">
        <v>46547</v>
      </c>
      <c r="M28" s="85">
        <v>46547</v>
      </c>
      <c r="N28" s="85">
        <v>46547</v>
      </c>
      <c r="O28" s="85">
        <v>46547</v>
      </c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 spans="1:26" x14ac:dyDescent="0.2">
      <c r="A29" s="74"/>
      <c r="B29" s="74" t="s">
        <v>152</v>
      </c>
      <c r="C29" s="74"/>
      <c r="D29" s="74"/>
      <c r="E29" s="74"/>
      <c r="F29" s="81">
        <v>13362</v>
      </c>
      <c r="G29" s="81">
        <v>14345</v>
      </c>
      <c r="H29" s="81">
        <v>13843</v>
      </c>
      <c r="I29" s="81">
        <v>13133</v>
      </c>
      <c r="J29" s="81">
        <v>14803</v>
      </c>
      <c r="K29" s="85">
        <v>14803</v>
      </c>
      <c r="L29" s="85">
        <v>14803</v>
      </c>
      <c r="M29" s="85">
        <v>14803</v>
      </c>
      <c r="N29" s="85">
        <v>14803</v>
      </c>
      <c r="O29" s="85">
        <v>14803</v>
      </c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 spans="1:26" x14ac:dyDescent="0.2">
      <c r="A30" s="74"/>
      <c r="B30" s="74" t="s">
        <v>153</v>
      </c>
      <c r="C30" s="74"/>
      <c r="D30" s="74"/>
      <c r="E30" s="74"/>
      <c r="F30" s="81">
        <v>5257</v>
      </c>
      <c r="G30" s="84">
        <v>514</v>
      </c>
      <c r="H30" s="84" t="s">
        <v>103</v>
      </c>
      <c r="I30" s="84" t="s">
        <v>103</v>
      </c>
      <c r="J30" s="84" t="s">
        <v>103</v>
      </c>
      <c r="K30" s="74" t="s">
        <v>103</v>
      </c>
      <c r="L30" s="74" t="s">
        <v>103</v>
      </c>
      <c r="M30" s="74" t="s">
        <v>103</v>
      </c>
      <c r="N30" s="74" t="s">
        <v>103</v>
      </c>
      <c r="O30" s="74" t="s">
        <v>103</v>
      </c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 spans="1:26" x14ac:dyDescent="0.2">
      <c r="A31" s="74"/>
      <c r="B31" s="74" t="s">
        <v>154</v>
      </c>
      <c r="C31" s="74"/>
      <c r="D31" s="74"/>
      <c r="E31" s="74"/>
      <c r="F31" s="81">
        <v>11916</v>
      </c>
      <c r="G31" s="81">
        <v>12104</v>
      </c>
      <c r="H31" s="81">
        <v>11486</v>
      </c>
      <c r="I31" s="81">
        <v>12034</v>
      </c>
      <c r="J31" s="81">
        <v>15921</v>
      </c>
      <c r="K31" s="82">
        <v>15921</v>
      </c>
      <c r="L31" s="82">
        <v>15921</v>
      </c>
      <c r="M31" s="82">
        <v>15921</v>
      </c>
      <c r="N31" s="82">
        <v>15921</v>
      </c>
      <c r="O31" s="82">
        <v>15921</v>
      </c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 spans="1:26" x14ac:dyDescent="0.2">
      <c r="A32" s="74"/>
      <c r="B32" s="9" t="s">
        <v>155</v>
      </c>
      <c r="C32" s="74"/>
      <c r="D32" s="74"/>
      <c r="E32" s="74"/>
      <c r="F32" s="83">
        <v>107633</v>
      </c>
      <c r="G32" s="83">
        <v>109120</v>
      </c>
      <c r="H32" s="83">
        <v>119013</v>
      </c>
      <c r="I32" s="83">
        <v>125172</v>
      </c>
      <c r="J32" s="83">
        <v>180016</v>
      </c>
      <c r="K32" s="83">
        <v>192938</v>
      </c>
      <c r="L32" s="83">
        <v>207560</v>
      </c>
      <c r="M32" s="83">
        <v>223538</v>
      </c>
      <c r="N32" s="83">
        <v>240478</v>
      </c>
      <c r="O32" s="83">
        <v>257837</v>
      </c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 spans="1:26" x14ac:dyDescent="0.2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 spans="1:26" x14ac:dyDescent="0.2">
      <c r="A34" s="74"/>
      <c r="B34" s="77" t="s">
        <v>156</v>
      </c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 spans="1:26" x14ac:dyDescent="0.2">
      <c r="A35" s="74"/>
      <c r="B35" s="74" t="s">
        <v>157</v>
      </c>
      <c r="C35" s="74"/>
      <c r="D35" s="74"/>
      <c r="E35" s="74"/>
      <c r="F35" s="81">
        <v>61774</v>
      </c>
      <c r="G35" s="81">
        <v>68184</v>
      </c>
      <c r="H35" s="81">
        <v>76534</v>
      </c>
      <c r="I35" s="81">
        <v>84800</v>
      </c>
      <c r="J35" s="81">
        <v>93126</v>
      </c>
      <c r="K35" s="85">
        <v>107012</v>
      </c>
      <c r="L35" s="85">
        <v>123875</v>
      </c>
      <c r="M35" s="85">
        <v>143992</v>
      </c>
      <c r="N35" s="85">
        <v>167559</v>
      </c>
      <c r="O35" s="85">
        <v>194662</v>
      </c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 spans="1:26" x14ac:dyDescent="0.2">
      <c r="A36" s="74"/>
      <c r="B36" s="74" t="s">
        <v>158</v>
      </c>
      <c r="C36" s="74"/>
      <c r="D36" s="74"/>
      <c r="E36" s="74"/>
      <c r="F36" s="81">
        <v>191484</v>
      </c>
      <c r="G36" s="81">
        <v>195563</v>
      </c>
      <c r="H36" s="81">
        <v>211247</v>
      </c>
      <c r="I36" s="81">
        <v>245084</v>
      </c>
      <c r="J36" s="81">
        <v>324055</v>
      </c>
      <c r="K36" s="85">
        <v>446505</v>
      </c>
      <c r="L36" s="85">
        <v>590352</v>
      </c>
      <c r="M36" s="85">
        <v>720958</v>
      </c>
      <c r="N36" s="85">
        <v>825504</v>
      </c>
      <c r="O36" s="85">
        <v>888385</v>
      </c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spans="1:26" x14ac:dyDescent="0.2">
      <c r="A37" s="74"/>
      <c r="B37" s="74" t="s">
        <v>159</v>
      </c>
      <c r="C37" s="74"/>
      <c r="D37" s="74"/>
      <c r="E37" s="74"/>
      <c r="F37" s="81">
        <v>-1623</v>
      </c>
      <c r="G37" s="81">
        <v>-7603</v>
      </c>
      <c r="H37" s="81">
        <v>-4402</v>
      </c>
      <c r="I37" s="81">
        <v>-4800</v>
      </c>
      <c r="J37" s="81">
        <v>-1916</v>
      </c>
      <c r="K37" s="82">
        <v>-1916</v>
      </c>
      <c r="L37" s="82">
        <v>-1916</v>
      </c>
      <c r="M37" s="82">
        <v>-1916</v>
      </c>
      <c r="N37" s="82">
        <v>-1916</v>
      </c>
      <c r="O37" s="82">
        <v>-1916</v>
      </c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spans="1:26" x14ac:dyDescent="0.2">
      <c r="A38" s="74"/>
      <c r="B38" s="9" t="s">
        <v>160</v>
      </c>
      <c r="C38" s="74"/>
      <c r="D38" s="74"/>
      <c r="E38" s="74"/>
      <c r="F38" s="83">
        <v>251635</v>
      </c>
      <c r="G38" s="83">
        <v>256144</v>
      </c>
      <c r="H38" s="83">
        <v>283379</v>
      </c>
      <c r="I38" s="83">
        <v>325084</v>
      </c>
      <c r="J38" s="83">
        <v>415265</v>
      </c>
      <c r="K38" s="83">
        <v>551601</v>
      </c>
      <c r="L38" s="83">
        <v>712311</v>
      </c>
      <c r="M38" s="83">
        <v>863034</v>
      </c>
      <c r="N38" s="83">
        <v>991148</v>
      </c>
      <c r="O38" s="83">
        <v>1081130</v>
      </c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spans="1:26" x14ac:dyDescent="0.2">
      <c r="A39" s="74"/>
      <c r="B39" s="9" t="s">
        <v>161</v>
      </c>
      <c r="C39" s="74"/>
      <c r="D39" s="74"/>
      <c r="E39" s="74"/>
      <c r="F39" s="83">
        <v>359268</v>
      </c>
      <c r="G39" s="83">
        <v>365264</v>
      </c>
      <c r="H39" s="83">
        <v>402392</v>
      </c>
      <c r="I39" s="83">
        <v>450256</v>
      </c>
      <c r="J39" s="83">
        <v>595281</v>
      </c>
      <c r="K39" s="83">
        <v>744538</v>
      </c>
      <c r="L39" s="83">
        <v>919871</v>
      </c>
      <c r="M39" s="83">
        <v>1086573</v>
      </c>
      <c r="N39" s="83">
        <v>1231626</v>
      </c>
      <c r="O39" s="83">
        <v>1338967</v>
      </c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spans="1:26" x14ac:dyDescent="0.2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spans="1:26" x14ac:dyDescent="0.2">
      <c r="A41" s="74"/>
      <c r="B41" s="77" t="s">
        <v>162</v>
      </c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spans="1:26" x14ac:dyDescent="0.2">
      <c r="A42" s="74"/>
      <c r="B42" s="9" t="s">
        <v>163</v>
      </c>
      <c r="C42" s="74"/>
      <c r="D42" s="74"/>
      <c r="E42" s="74"/>
      <c r="F42" s="9" t="s">
        <v>103</v>
      </c>
      <c r="G42" s="9" t="s">
        <v>103</v>
      </c>
      <c r="H42" s="9" t="s">
        <v>103</v>
      </c>
      <c r="I42" s="9" t="s">
        <v>103</v>
      </c>
      <c r="J42" s="9" t="s">
        <v>103</v>
      </c>
      <c r="K42" s="9" t="s">
        <v>103</v>
      </c>
      <c r="L42" s="9" t="s">
        <v>103</v>
      </c>
      <c r="M42" s="9" t="s">
        <v>103</v>
      </c>
      <c r="N42" s="9" t="s">
        <v>103</v>
      </c>
      <c r="O42" s="9" t="s">
        <v>103</v>
      </c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spans="1:26" x14ac:dyDescent="0.2">
      <c r="A43" s="74"/>
      <c r="B43" s="9" t="s">
        <v>164</v>
      </c>
      <c r="C43" s="74"/>
      <c r="D43" s="74"/>
      <c r="E43" s="74"/>
      <c r="F43" s="74"/>
      <c r="G43" s="74"/>
      <c r="H43" s="74"/>
      <c r="I43" s="74"/>
      <c r="J43" s="74"/>
      <c r="K43" s="86" t="s">
        <v>103</v>
      </c>
      <c r="L43" s="86" t="s">
        <v>103</v>
      </c>
      <c r="M43" s="86" t="s">
        <v>103</v>
      </c>
      <c r="N43" s="86" t="s">
        <v>103</v>
      </c>
      <c r="O43" s="86" t="s">
        <v>103</v>
      </c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spans="1:26" x14ac:dyDescent="0.2">
      <c r="A44" s="74"/>
      <c r="B44" s="74" t="s">
        <v>165</v>
      </c>
      <c r="C44" s="74"/>
      <c r="D44" s="74"/>
      <c r="E44" s="74"/>
      <c r="F44" s="82">
        <v>-15760</v>
      </c>
      <c r="G44" s="82">
        <v>-18267</v>
      </c>
      <c r="H44" s="82">
        <v>-20200</v>
      </c>
      <c r="I44" s="82">
        <v>-20069</v>
      </c>
      <c r="J44" s="82">
        <v>-21554</v>
      </c>
      <c r="K44" s="82">
        <v>-16696</v>
      </c>
      <c r="L44" s="82">
        <v>-10331</v>
      </c>
      <c r="M44" s="82">
        <v>-2359</v>
      </c>
      <c r="N44" s="82">
        <v>6734</v>
      </c>
      <c r="O44" s="82">
        <v>14618</v>
      </c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spans="1:26" x14ac:dyDescent="0.2">
      <c r="A45" s="74"/>
      <c r="B45" s="74" t="s">
        <v>166</v>
      </c>
      <c r="C45" s="74"/>
      <c r="D45" s="74"/>
      <c r="E45" s="74"/>
      <c r="F45" s="82">
        <v>12844</v>
      </c>
      <c r="G45" s="82">
        <v>12857</v>
      </c>
      <c r="H45" s="82">
        <v>12870</v>
      </c>
      <c r="I45" s="82">
        <v>11882</v>
      </c>
      <c r="J45" s="82">
        <v>48543</v>
      </c>
      <c r="K45" s="82">
        <v>48543</v>
      </c>
      <c r="L45" s="82">
        <v>48543</v>
      </c>
      <c r="M45" s="82">
        <v>48543</v>
      </c>
      <c r="N45" s="82">
        <v>48543</v>
      </c>
      <c r="O45" s="82">
        <v>48543</v>
      </c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spans="1:26" x14ac:dyDescent="0.2">
      <c r="A46" s="74"/>
      <c r="B46" s="74" t="s">
        <v>167</v>
      </c>
      <c r="C46" s="74"/>
      <c r="D46" s="74"/>
      <c r="E46" s="74"/>
      <c r="F46" s="82">
        <v>126805</v>
      </c>
      <c r="G46" s="82">
        <v>100905</v>
      </c>
      <c r="H46" s="82">
        <v>98046</v>
      </c>
      <c r="I46" s="82">
        <v>83775</v>
      </c>
      <c r="J46" s="82">
        <v>78300</v>
      </c>
      <c r="K46" s="82">
        <v>45737</v>
      </c>
      <c r="L46" s="82">
        <v>46135</v>
      </c>
      <c r="M46" s="82">
        <v>59238</v>
      </c>
      <c r="N46" s="82">
        <v>89648</v>
      </c>
      <c r="O46" s="82">
        <v>142605</v>
      </c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spans="1:26" x14ac:dyDescent="0.2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spans="1:26" x14ac:dyDescent="0.2">
      <c r="A48" s="74"/>
      <c r="B48" s="77" t="s">
        <v>124</v>
      </c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spans="1:26" x14ac:dyDescent="0.2">
      <c r="A49" s="74"/>
      <c r="B49" s="74" t="s">
        <v>168</v>
      </c>
      <c r="C49" s="74"/>
      <c r="D49" s="74"/>
      <c r="E49" s="74"/>
      <c r="F49" s="89">
        <v>0.153</v>
      </c>
      <c r="G49" s="89">
        <v>0.14199999999999999</v>
      </c>
      <c r="H49" s="89">
        <v>0.156</v>
      </c>
      <c r="I49" s="89">
        <v>0.15</v>
      </c>
      <c r="J49" s="89">
        <v>0.156</v>
      </c>
      <c r="K49" s="88">
        <v>0.156</v>
      </c>
      <c r="L49" s="88">
        <v>0.156</v>
      </c>
      <c r="M49" s="88">
        <v>0.156</v>
      </c>
      <c r="N49" s="88">
        <v>0.156</v>
      </c>
      <c r="O49" s="88">
        <v>0.156</v>
      </c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spans="1:26" x14ac:dyDescent="0.2">
      <c r="A50" s="74"/>
      <c r="B50" s="74" t="s">
        <v>169</v>
      </c>
      <c r="C50" s="74"/>
      <c r="D50" s="74"/>
      <c r="E50" s="74"/>
      <c r="F50" s="89">
        <v>2.3E-2</v>
      </c>
      <c r="G50" s="89">
        <v>1.7999999999999999E-2</v>
      </c>
      <c r="H50" s="89">
        <v>2.4E-2</v>
      </c>
      <c r="I50" s="89">
        <v>2.3E-2</v>
      </c>
      <c r="J50" s="89">
        <v>0.03</v>
      </c>
      <c r="K50" s="88">
        <v>0.03</v>
      </c>
      <c r="L50" s="88">
        <v>0.03</v>
      </c>
      <c r="M50" s="88">
        <v>0.03</v>
      </c>
      <c r="N50" s="88">
        <v>0.03</v>
      </c>
      <c r="O50" s="88">
        <v>0.03</v>
      </c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spans="1:26" x14ac:dyDescent="0.2">
      <c r="A51" s="74"/>
      <c r="B51" s="74" t="s">
        <v>170</v>
      </c>
      <c r="C51" s="74"/>
      <c r="D51" s="74"/>
      <c r="E51" s="74"/>
      <c r="F51" s="89">
        <v>0.108</v>
      </c>
      <c r="G51" s="89">
        <v>0.112</v>
      </c>
      <c r="H51" s="89">
        <v>0.11799999999999999</v>
      </c>
      <c r="I51" s="89">
        <v>9.0999999999999998E-2</v>
      </c>
      <c r="J51" s="89">
        <v>9.0999999999999998E-2</v>
      </c>
      <c r="K51" s="88">
        <v>9.0999999999999998E-2</v>
      </c>
      <c r="L51" s="88">
        <v>9.0999999999999998E-2</v>
      </c>
      <c r="M51" s="88">
        <v>9.0999999999999998E-2</v>
      </c>
      <c r="N51" s="88">
        <v>9.0999999999999998E-2</v>
      </c>
      <c r="O51" s="88">
        <v>9.0999999999999998E-2</v>
      </c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spans="1:26" x14ac:dyDescent="0.2">
      <c r="A52" s="74"/>
      <c r="B52" s="74" t="s">
        <v>171</v>
      </c>
      <c r="C52" s="74"/>
      <c r="D52" s="74"/>
      <c r="E52" s="74"/>
      <c r="F52" s="89">
        <v>1.2999999999999999E-2</v>
      </c>
      <c r="G52" s="89">
        <v>1.4E-2</v>
      </c>
      <c r="H52" s="89">
        <v>1.2999999999999999E-2</v>
      </c>
      <c r="I52" s="89">
        <v>1.4E-2</v>
      </c>
      <c r="J52" s="89">
        <v>1.6E-2</v>
      </c>
      <c r="K52" s="88">
        <v>1.6E-2</v>
      </c>
      <c r="L52" s="88">
        <v>1.6E-2</v>
      </c>
      <c r="M52" s="88">
        <v>1.6E-2</v>
      </c>
      <c r="N52" s="88">
        <v>1.6E-2</v>
      </c>
      <c r="O52" s="88">
        <v>1.6E-2</v>
      </c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spans="1:26" x14ac:dyDescent="0.2">
      <c r="A53" s="74"/>
      <c r="B53" s="74" t="s">
        <v>172</v>
      </c>
      <c r="C53" s="74"/>
      <c r="D53" s="74"/>
      <c r="E53" s="74"/>
      <c r="F53" s="74"/>
      <c r="G53" s="74"/>
      <c r="H53" s="74"/>
      <c r="I53" s="74"/>
      <c r="J53" s="74"/>
      <c r="K53" s="84" t="s">
        <v>103</v>
      </c>
      <c r="L53" s="84" t="s">
        <v>103</v>
      </c>
      <c r="M53" s="84" t="s">
        <v>103</v>
      </c>
      <c r="N53" s="84" t="s">
        <v>103</v>
      </c>
      <c r="O53" s="84" t="s">
        <v>103</v>
      </c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spans="1:26" x14ac:dyDescent="0.2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spans="1:26" x14ac:dyDescent="0.2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spans="1:26" x14ac:dyDescent="0.2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spans="1:26" x14ac:dyDescent="0.2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spans="1:26" x14ac:dyDescent="0.2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spans="1:26" x14ac:dyDescent="0.2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spans="1:26" x14ac:dyDescent="0.2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spans="1:26" x14ac:dyDescent="0.2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spans="1:26" x14ac:dyDescent="0.2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spans="1:26" x14ac:dyDescent="0.2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spans="1:26" x14ac:dyDescent="0.2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spans="1:26" x14ac:dyDescent="0.2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spans="1:26" x14ac:dyDescent="0.2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spans="1:26" x14ac:dyDescent="0.2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spans="1:26" x14ac:dyDescent="0.2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spans="1:26" x14ac:dyDescent="0.2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spans="1:26" x14ac:dyDescent="0.2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spans="1:26" x14ac:dyDescent="0.2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spans="1:26" x14ac:dyDescent="0.2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spans="1:26" x14ac:dyDescent="0.2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spans="1:26" x14ac:dyDescent="0.2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spans="1:26" x14ac:dyDescent="0.2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spans="1:26" x14ac:dyDescent="0.2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spans="1:26" x14ac:dyDescent="0.2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spans="1:26" x14ac:dyDescent="0.2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spans="1:26" x14ac:dyDescent="0.2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spans="1:26" x14ac:dyDescent="0.2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spans="1:26" x14ac:dyDescent="0.2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spans="1:26" x14ac:dyDescent="0.2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spans="1:26" x14ac:dyDescent="0.2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spans="1:26" x14ac:dyDescent="0.2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spans="1:26" x14ac:dyDescent="0.2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spans="1:26" x14ac:dyDescent="0.2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spans="1:26" x14ac:dyDescent="0.2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spans="1:26" x14ac:dyDescent="0.2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spans="1:26" x14ac:dyDescent="0.2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spans="1:26" x14ac:dyDescent="0.2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spans="1:26" x14ac:dyDescent="0.2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spans="1:26" x14ac:dyDescent="0.2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spans="1:26" x14ac:dyDescent="0.2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spans="1:26" x14ac:dyDescent="0.2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spans="1:26" x14ac:dyDescent="0.2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spans="1:26" x14ac:dyDescent="0.2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spans="1:26" x14ac:dyDescent="0.2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spans="1:26" x14ac:dyDescent="0.2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spans="1:26" x14ac:dyDescent="0.2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spans="1:26" x14ac:dyDescent="0.2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spans="1:26" x14ac:dyDescent="0.2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spans="1:26" x14ac:dyDescent="0.2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spans="1:26" x14ac:dyDescent="0.2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spans="1:26" x14ac:dyDescent="0.2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spans="1:26" x14ac:dyDescent="0.2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spans="1:26" x14ac:dyDescent="0.2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spans="1:26" x14ac:dyDescent="0.2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spans="1:26" x14ac:dyDescent="0.2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spans="1:26" x14ac:dyDescent="0.2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spans="1:26" x14ac:dyDescent="0.2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spans="1:26" x14ac:dyDescent="0.2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spans="1:26" x14ac:dyDescent="0.2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spans="1:26" x14ac:dyDescent="0.2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spans="1:26" x14ac:dyDescent="0.2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spans="1:26" x14ac:dyDescent="0.2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spans="1:26" x14ac:dyDescent="0.2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spans="1:26" x14ac:dyDescent="0.2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spans="1:26" x14ac:dyDescent="0.2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spans="1:26" x14ac:dyDescent="0.2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spans="1:26" x14ac:dyDescent="0.2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spans="1:26" x14ac:dyDescent="0.2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spans="1:26" x14ac:dyDescent="0.2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spans="1:26" x14ac:dyDescent="0.2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spans="1:26" x14ac:dyDescent="0.2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spans="1:26" x14ac:dyDescent="0.2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spans="1:26" x14ac:dyDescent="0.2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spans="1:26" x14ac:dyDescent="0.2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spans="1:26" x14ac:dyDescent="0.2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spans="1:26" x14ac:dyDescent="0.2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spans="1:26" x14ac:dyDescent="0.2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spans="1:26" x14ac:dyDescent="0.2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spans="1:26" x14ac:dyDescent="0.2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spans="1:26" x14ac:dyDescent="0.2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spans="1:26" x14ac:dyDescent="0.2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spans="1:26" x14ac:dyDescent="0.2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spans="1:26" x14ac:dyDescent="0.2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spans="1:26" x14ac:dyDescent="0.2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spans="1:26" x14ac:dyDescent="0.2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spans="1:26" x14ac:dyDescent="0.2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spans="1:26" x14ac:dyDescent="0.2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spans="1:26" x14ac:dyDescent="0.2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spans="1:26" x14ac:dyDescent="0.2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spans="1:26" x14ac:dyDescent="0.2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spans="1:26" x14ac:dyDescent="0.2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spans="1:26" x14ac:dyDescent="0.2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spans="1:26" x14ac:dyDescent="0.2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spans="1:26" x14ac:dyDescent="0.2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spans="1:26" x14ac:dyDescent="0.2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spans="1:26" x14ac:dyDescent="0.2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spans="1:26" x14ac:dyDescent="0.2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spans="1:26" x14ac:dyDescent="0.2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spans="1:26" x14ac:dyDescent="0.2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spans="1:26" x14ac:dyDescent="0.2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spans="1:26" x14ac:dyDescent="0.2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spans="1:26" x14ac:dyDescent="0.2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spans="1:26" x14ac:dyDescent="0.2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spans="1:26" x14ac:dyDescent="0.2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spans="1:26" x14ac:dyDescent="0.2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spans="1:26" x14ac:dyDescent="0.2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spans="1:26" x14ac:dyDescent="0.2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spans="1:26" x14ac:dyDescent="0.2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spans="1:26" x14ac:dyDescent="0.2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spans="1:26" x14ac:dyDescent="0.2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spans="1:26" x14ac:dyDescent="0.2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spans="1:26" x14ac:dyDescent="0.2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spans="1:26" x14ac:dyDescent="0.2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spans="1:26" x14ac:dyDescent="0.2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spans="1:26" x14ac:dyDescent="0.2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spans="1:26" x14ac:dyDescent="0.2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spans="1:26" x14ac:dyDescent="0.2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spans="1:26" x14ac:dyDescent="0.2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spans="1:26" x14ac:dyDescent="0.2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spans="1:26" x14ac:dyDescent="0.2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spans="1:26" x14ac:dyDescent="0.2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spans="1:26" x14ac:dyDescent="0.2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spans="1:26" x14ac:dyDescent="0.2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spans="1:26" x14ac:dyDescent="0.2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spans="1:26" x14ac:dyDescent="0.2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spans="1:26" x14ac:dyDescent="0.2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spans="1:26" x14ac:dyDescent="0.2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spans="1:26" x14ac:dyDescent="0.2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spans="1:26" x14ac:dyDescent="0.2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spans="1:26" x14ac:dyDescent="0.2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spans="1:26" x14ac:dyDescent="0.2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spans="1:26" x14ac:dyDescent="0.2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spans="1:26" x14ac:dyDescent="0.2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spans="1:26" x14ac:dyDescent="0.2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spans="1:26" x14ac:dyDescent="0.2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spans="1:26" x14ac:dyDescent="0.2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spans="1:26" x14ac:dyDescent="0.2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spans="1:26" x14ac:dyDescent="0.2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spans="1:26" x14ac:dyDescent="0.2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spans="1:26" x14ac:dyDescent="0.2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spans="1:26" x14ac:dyDescent="0.2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spans="1:26" x14ac:dyDescent="0.2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spans="1:26" x14ac:dyDescent="0.2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spans="1:26" x14ac:dyDescent="0.2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spans="1:26" x14ac:dyDescent="0.2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spans="1:26" x14ac:dyDescent="0.2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spans="1:26" x14ac:dyDescent="0.2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spans="1:26" x14ac:dyDescent="0.2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spans="1:26" x14ac:dyDescent="0.2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spans="1:26" x14ac:dyDescent="0.2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spans="1:26" x14ac:dyDescent="0.2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spans="1:26" x14ac:dyDescent="0.2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spans="1:26" x14ac:dyDescent="0.2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spans="1:26" x14ac:dyDescent="0.2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spans="1:26" x14ac:dyDescent="0.2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spans="1:26" x14ac:dyDescent="0.2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spans="1:26" x14ac:dyDescent="0.2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spans="1:26" x14ac:dyDescent="0.2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spans="1:26" x14ac:dyDescent="0.2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spans="1:26" x14ac:dyDescent="0.2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spans="1:26" x14ac:dyDescent="0.2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spans="1:26" x14ac:dyDescent="0.2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spans="1:26" x14ac:dyDescent="0.2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spans="1:26" x14ac:dyDescent="0.2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spans="1:26" x14ac:dyDescent="0.2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spans="1:26" x14ac:dyDescent="0.2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spans="1:26" x14ac:dyDescent="0.2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spans="1:26" x14ac:dyDescent="0.2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spans="1:26" x14ac:dyDescent="0.2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spans="1:26" x14ac:dyDescent="0.2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spans="1:26" x14ac:dyDescent="0.2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spans="1:26" x14ac:dyDescent="0.2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spans="1:26" x14ac:dyDescent="0.2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spans="1:26" x14ac:dyDescent="0.2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spans="1:26" x14ac:dyDescent="0.2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spans="1:26" x14ac:dyDescent="0.2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spans="1:26" x14ac:dyDescent="0.2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spans="1:26" x14ac:dyDescent="0.2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spans="1:26" x14ac:dyDescent="0.2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spans="1:26" x14ac:dyDescent="0.2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spans="1:26" x14ac:dyDescent="0.2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spans="1:26" x14ac:dyDescent="0.2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spans="1:26" x14ac:dyDescent="0.2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spans="1:26" x14ac:dyDescent="0.2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spans="1:26" x14ac:dyDescent="0.2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spans="1:26" x14ac:dyDescent="0.2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spans="1:26" x14ac:dyDescent="0.2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 spans="1:26" x14ac:dyDescent="0.2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 spans="1:26" x14ac:dyDescent="0.2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 spans="1:26" x14ac:dyDescent="0.2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 spans="1:26" x14ac:dyDescent="0.2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 spans="1:26" x14ac:dyDescent="0.2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 spans="1:26" x14ac:dyDescent="0.2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 spans="1:26" x14ac:dyDescent="0.2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 spans="1:26" x14ac:dyDescent="0.2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 spans="1:26" x14ac:dyDescent="0.2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 spans="1:26" x14ac:dyDescent="0.2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 spans="1:26" x14ac:dyDescent="0.2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 spans="1:26" x14ac:dyDescent="0.2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 spans="1:26" x14ac:dyDescent="0.2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 spans="1:26" x14ac:dyDescent="0.2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 spans="1:26" x14ac:dyDescent="0.2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 spans="1:26" x14ac:dyDescent="0.2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 spans="1:26" x14ac:dyDescent="0.2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 spans="1:26" x14ac:dyDescent="0.2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 spans="1:26" x14ac:dyDescent="0.2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 spans="1:26" x14ac:dyDescent="0.2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 spans="1:26" x14ac:dyDescent="0.2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 spans="1:26" x14ac:dyDescent="0.2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 spans="1:26" x14ac:dyDescent="0.2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 spans="1:26" x14ac:dyDescent="0.2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 spans="1:26" x14ac:dyDescent="0.2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 spans="1:26" x14ac:dyDescent="0.2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 spans="1:26" x14ac:dyDescent="0.2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 spans="1:26" x14ac:dyDescent="0.2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 spans="1:26" x14ac:dyDescent="0.2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 spans="1:26" x14ac:dyDescent="0.2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 spans="1:26" x14ac:dyDescent="0.2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 spans="1:26" x14ac:dyDescent="0.2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 spans="1:26" x14ac:dyDescent="0.2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 spans="1:26" x14ac:dyDescent="0.2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 spans="1:26" x14ac:dyDescent="0.2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 spans="1:26" x14ac:dyDescent="0.2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 spans="1:26" x14ac:dyDescent="0.2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 spans="1:26" x14ac:dyDescent="0.2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 spans="1:26" x14ac:dyDescent="0.2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 spans="1:26" x14ac:dyDescent="0.2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 spans="1:26" x14ac:dyDescent="0.2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 spans="1:26" x14ac:dyDescent="0.2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 spans="1:26" x14ac:dyDescent="0.2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 spans="1:26" x14ac:dyDescent="0.2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 spans="1:26" x14ac:dyDescent="0.2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 spans="1:26" x14ac:dyDescent="0.2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 spans="1:26" x14ac:dyDescent="0.2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 spans="1:26" x14ac:dyDescent="0.2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 spans="1:26" x14ac:dyDescent="0.2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 spans="1:26" x14ac:dyDescent="0.2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 spans="1:26" x14ac:dyDescent="0.2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 spans="1:26" x14ac:dyDescent="0.2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 spans="1:26" x14ac:dyDescent="0.2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spans="1:26" x14ac:dyDescent="0.2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 spans="1:26" x14ac:dyDescent="0.2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 spans="1:26" x14ac:dyDescent="0.2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 spans="1:26" x14ac:dyDescent="0.2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 spans="1:26" x14ac:dyDescent="0.2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 spans="1:26" x14ac:dyDescent="0.2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 spans="1:26" x14ac:dyDescent="0.2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 spans="1:26" x14ac:dyDescent="0.2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spans="1:26" x14ac:dyDescent="0.2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 spans="1:26" x14ac:dyDescent="0.2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 spans="1:26" x14ac:dyDescent="0.2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 spans="1:26" x14ac:dyDescent="0.2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 spans="1:26" x14ac:dyDescent="0.2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 spans="1:26" x14ac:dyDescent="0.2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 spans="1:26" x14ac:dyDescent="0.2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 spans="1:26" x14ac:dyDescent="0.2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 spans="1:26" x14ac:dyDescent="0.2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 spans="1:26" x14ac:dyDescent="0.2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 spans="1:26" x14ac:dyDescent="0.2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 spans="1:26" x14ac:dyDescent="0.2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 spans="1:26" x14ac:dyDescent="0.2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 spans="1:26" x14ac:dyDescent="0.2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 spans="1:26" x14ac:dyDescent="0.2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 spans="1:26" x14ac:dyDescent="0.2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 spans="1:26" x14ac:dyDescent="0.2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 spans="1:26" x14ac:dyDescent="0.2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 spans="1:26" x14ac:dyDescent="0.2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spans="1:26" x14ac:dyDescent="0.2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 spans="1:26" x14ac:dyDescent="0.2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 spans="1:26" x14ac:dyDescent="0.2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spans="1:26" x14ac:dyDescent="0.2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spans="1:26" x14ac:dyDescent="0.2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 spans="1:26" x14ac:dyDescent="0.2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 spans="1:26" x14ac:dyDescent="0.2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 spans="1:26" x14ac:dyDescent="0.2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spans="1:26" x14ac:dyDescent="0.2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 spans="1:26" x14ac:dyDescent="0.2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 spans="1:26" x14ac:dyDescent="0.2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 spans="1:26" x14ac:dyDescent="0.2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 spans="1:26" x14ac:dyDescent="0.2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 spans="1:26" x14ac:dyDescent="0.2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 spans="1:26" x14ac:dyDescent="0.2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 spans="1:26" x14ac:dyDescent="0.2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 spans="1:26" x14ac:dyDescent="0.2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 spans="1:26" x14ac:dyDescent="0.2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 spans="1:26" x14ac:dyDescent="0.2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 spans="1:26" x14ac:dyDescent="0.2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 spans="1:26" x14ac:dyDescent="0.2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 spans="1:26" x14ac:dyDescent="0.2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 spans="1:26" x14ac:dyDescent="0.2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 spans="1:26" x14ac:dyDescent="0.2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 spans="1:26" x14ac:dyDescent="0.2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 spans="1:26" x14ac:dyDescent="0.2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 spans="1:26" x14ac:dyDescent="0.2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spans="1:26" x14ac:dyDescent="0.2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 spans="1:26" x14ac:dyDescent="0.2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 spans="1:26" x14ac:dyDescent="0.2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 spans="1:26" x14ac:dyDescent="0.2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 spans="1:26" x14ac:dyDescent="0.2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 spans="1:26" x14ac:dyDescent="0.2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 spans="1:26" x14ac:dyDescent="0.2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 spans="1:26" x14ac:dyDescent="0.2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 spans="1:26" x14ac:dyDescent="0.2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 spans="1:26" x14ac:dyDescent="0.2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 spans="1:26" x14ac:dyDescent="0.2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 spans="1:26" x14ac:dyDescent="0.2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spans="1:26" x14ac:dyDescent="0.2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 spans="1:26" x14ac:dyDescent="0.2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 spans="1:26" x14ac:dyDescent="0.2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 spans="1:26" x14ac:dyDescent="0.2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 spans="1:26" x14ac:dyDescent="0.2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 spans="1:26" x14ac:dyDescent="0.2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 spans="1:26" x14ac:dyDescent="0.2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 spans="1:26" x14ac:dyDescent="0.2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 spans="1:26" x14ac:dyDescent="0.2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 spans="1:26" x14ac:dyDescent="0.2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 spans="1:26" x14ac:dyDescent="0.2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 spans="1:26" x14ac:dyDescent="0.2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 spans="1:26" x14ac:dyDescent="0.2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 spans="1:26" x14ac:dyDescent="0.2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 spans="1:26" x14ac:dyDescent="0.2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 spans="1:26" x14ac:dyDescent="0.2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 spans="1:26" x14ac:dyDescent="0.2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spans="1:26" x14ac:dyDescent="0.2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 spans="1:26" x14ac:dyDescent="0.2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 spans="1:26" x14ac:dyDescent="0.2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 spans="1:26" x14ac:dyDescent="0.2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spans="1:26" x14ac:dyDescent="0.2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 spans="1:26" x14ac:dyDescent="0.2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spans="1:26" x14ac:dyDescent="0.2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spans="1:26" x14ac:dyDescent="0.2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spans="1:26" x14ac:dyDescent="0.2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spans="1:26" x14ac:dyDescent="0.2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spans="1:26" x14ac:dyDescent="0.2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spans="1:26" x14ac:dyDescent="0.2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spans="1:26" x14ac:dyDescent="0.2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spans="1:26" x14ac:dyDescent="0.2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spans="1:26" x14ac:dyDescent="0.2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spans="1:26" x14ac:dyDescent="0.2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spans="1:26" x14ac:dyDescent="0.2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spans="1:26" x14ac:dyDescent="0.2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spans="1:26" x14ac:dyDescent="0.2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spans="1:26" x14ac:dyDescent="0.2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spans="1:26" x14ac:dyDescent="0.2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spans="1:26" x14ac:dyDescent="0.2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spans="1:26" x14ac:dyDescent="0.2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spans="1:26" x14ac:dyDescent="0.2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spans="1:26" x14ac:dyDescent="0.2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spans="1:26" x14ac:dyDescent="0.2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spans="1:26" x14ac:dyDescent="0.2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spans="1:26" x14ac:dyDescent="0.2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spans="1:26" x14ac:dyDescent="0.2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spans="1:26" x14ac:dyDescent="0.2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spans="1:26" x14ac:dyDescent="0.2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spans="1:26" x14ac:dyDescent="0.2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spans="1:26" x14ac:dyDescent="0.2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spans="1:26" x14ac:dyDescent="0.2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spans="1:26" x14ac:dyDescent="0.2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spans="1:26" x14ac:dyDescent="0.2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spans="1:26" x14ac:dyDescent="0.2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spans="1:26" x14ac:dyDescent="0.2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spans="1:26" x14ac:dyDescent="0.2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spans="1:26" x14ac:dyDescent="0.2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spans="1:26" x14ac:dyDescent="0.2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spans="1:26" x14ac:dyDescent="0.2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spans="1:26" x14ac:dyDescent="0.2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spans="1:26" x14ac:dyDescent="0.2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spans="1:26" x14ac:dyDescent="0.2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spans="1:26" x14ac:dyDescent="0.2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spans="1:26" x14ac:dyDescent="0.2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spans="1:26" x14ac:dyDescent="0.2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spans="1:26" x14ac:dyDescent="0.2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spans="1:26" x14ac:dyDescent="0.2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spans="1:26" x14ac:dyDescent="0.2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spans="1:26" x14ac:dyDescent="0.2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spans="1:26" x14ac:dyDescent="0.2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spans="1:26" x14ac:dyDescent="0.2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spans="1:26" x14ac:dyDescent="0.2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spans="1:26" x14ac:dyDescent="0.2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spans="1:26" x14ac:dyDescent="0.2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spans="1:26" x14ac:dyDescent="0.2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spans="1:26" x14ac:dyDescent="0.2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spans="1:26" x14ac:dyDescent="0.2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spans="1:26" x14ac:dyDescent="0.2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spans="1:26" x14ac:dyDescent="0.2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spans="1:26" x14ac:dyDescent="0.2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spans="1:26" x14ac:dyDescent="0.2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spans="1:26" x14ac:dyDescent="0.2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spans="1:26" x14ac:dyDescent="0.2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spans="1:26" x14ac:dyDescent="0.2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spans="1:26" x14ac:dyDescent="0.2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spans="1:26" x14ac:dyDescent="0.2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spans="1:26" x14ac:dyDescent="0.2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spans="1:26" x14ac:dyDescent="0.2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spans="1:26" x14ac:dyDescent="0.2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spans="1:26" x14ac:dyDescent="0.2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spans="1:26" x14ac:dyDescent="0.2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spans="1:26" x14ac:dyDescent="0.2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spans="1:26" x14ac:dyDescent="0.2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spans="1:26" x14ac:dyDescent="0.2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spans="1:26" x14ac:dyDescent="0.2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spans="1:26" x14ac:dyDescent="0.2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spans="1:26" x14ac:dyDescent="0.2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spans="1:26" x14ac:dyDescent="0.2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spans="1:26" x14ac:dyDescent="0.2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spans="1:26" x14ac:dyDescent="0.2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spans="1:26" x14ac:dyDescent="0.2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spans="1:26" x14ac:dyDescent="0.2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spans="1:26" x14ac:dyDescent="0.2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spans="1:26" x14ac:dyDescent="0.2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spans="1:26" x14ac:dyDescent="0.2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spans="1:26" x14ac:dyDescent="0.2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spans="1:26" x14ac:dyDescent="0.2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spans="1:26" x14ac:dyDescent="0.2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spans="1:26" x14ac:dyDescent="0.2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spans="1:26" x14ac:dyDescent="0.2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spans="1:26" x14ac:dyDescent="0.2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spans="1:26" x14ac:dyDescent="0.2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spans="1:26" x14ac:dyDescent="0.2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spans="1:26" x14ac:dyDescent="0.2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spans="1:26" x14ac:dyDescent="0.2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spans="1:26" x14ac:dyDescent="0.2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spans="1:26" x14ac:dyDescent="0.2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spans="1:26" x14ac:dyDescent="0.2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spans="1:26" x14ac:dyDescent="0.2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spans="1:26" x14ac:dyDescent="0.2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spans="1:26" x14ac:dyDescent="0.2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spans="1:26" x14ac:dyDescent="0.2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spans="1:26" x14ac:dyDescent="0.2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spans="1:26" x14ac:dyDescent="0.2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spans="1:26" x14ac:dyDescent="0.2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spans="1:26" x14ac:dyDescent="0.2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spans="1:26" x14ac:dyDescent="0.2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spans="1:26" x14ac:dyDescent="0.2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spans="1:26" x14ac:dyDescent="0.2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spans="1:26" x14ac:dyDescent="0.2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spans="1:26" x14ac:dyDescent="0.2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spans="1:26" x14ac:dyDescent="0.2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spans="1:26" x14ac:dyDescent="0.2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spans="1:26" x14ac:dyDescent="0.2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spans="1:26" x14ac:dyDescent="0.2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spans="1:26" x14ac:dyDescent="0.2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spans="1:26" x14ac:dyDescent="0.2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spans="1:26" x14ac:dyDescent="0.2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spans="1:26" x14ac:dyDescent="0.2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spans="1:26" x14ac:dyDescent="0.2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spans="1:26" x14ac:dyDescent="0.2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spans="1:26" x14ac:dyDescent="0.2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spans="1:26" x14ac:dyDescent="0.2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spans="1:26" x14ac:dyDescent="0.2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spans="1:26" x14ac:dyDescent="0.2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spans="1:26" x14ac:dyDescent="0.2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spans="1:26" x14ac:dyDescent="0.2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spans="1:26" x14ac:dyDescent="0.2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spans="1:26" x14ac:dyDescent="0.2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spans="1:26" x14ac:dyDescent="0.2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spans="1:26" x14ac:dyDescent="0.2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spans="1:26" x14ac:dyDescent="0.2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spans="1:26" x14ac:dyDescent="0.2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spans="1:26" x14ac:dyDescent="0.2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spans="1:26" x14ac:dyDescent="0.2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spans="1:26" x14ac:dyDescent="0.2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spans="1:26" x14ac:dyDescent="0.2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spans="1:26" x14ac:dyDescent="0.2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spans="1:26" x14ac:dyDescent="0.2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spans="1:26" x14ac:dyDescent="0.2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spans="1:26" x14ac:dyDescent="0.2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spans="1:26" x14ac:dyDescent="0.2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spans="1:26" x14ac:dyDescent="0.2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spans="1:26" x14ac:dyDescent="0.2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spans="1:26" x14ac:dyDescent="0.2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spans="1:26" x14ac:dyDescent="0.2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spans="1:26" x14ac:dyDescent="0.2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spans="1:26" x14ac:dyDescent="0.2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spans="1:26" x14ac:dyDescent="0.2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spans="1:26" x14ac:dyDescent="0.2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spans="1:26" x14ac:dyDescent="0.2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spans="1:26" x14ac:dyDescent="0.2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spans="1:26" x14ac:dyDescent="0.2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spans="1:26" x14ac:dyDescent="0.2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spans="1:26" x14ac:dyDescent="0.2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spans="1:26" x14ac:dyDescent="0.2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spans="1:26" x14ac:dyDescent="0.2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spans="1:26" x14ac:dyDescent="0.2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spans="1:26" x14ac:dyDescent="0.2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spans="1:26" x14ac:dyDescent="0.2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spans="1:26" x14ac:dyDescent="0.2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spans="1:26" x14ac:dyDescent="0.2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spans="1:26" x14ac:dyDescent="0.2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spans="1:26" x14ac:dyDescent="0.2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spans="1:26" x14ac:dyDescent="0.2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spans="1:26" x14ac:dyDescent="0.2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spans="1:26" x14ac:dyDescent="0.2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spans="1:26" x14ac:dyDescent="0.2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spans="1:26" x14ac:dyDescent="0.2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spans="1:26" x14ac:dyDescent="0.2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spans="1:26" x14ac:dyDescent="0.2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spans="1:26" x14ac:dyDescent="0.2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spans="1:26" x14ac:dyDescent="0.2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spans="1:26" x14ac:dyDescent="0.2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spans="1:26" x14ac:dyDescent="0.2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spans="1:26" x14ac:dyDescent="0.2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spans="1:26" x14ac:dyDescent="0.2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spans="1:26" x14ac:dyDescent="0.2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spans="1:26" x14ac:dyDescent="0.2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spans="1:26" x14ac:dyDescent="0.2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spans="1:26" x14ac:dyDescent="0.2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spans="1:26" x14ac:dyDescent="0.2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spans="1:26" x14ac:dyDescent="0.2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spans="1:26" x14ac:dyDescent="0.2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spans="1:26" x14ac:dyDescent="0.2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spans="1:26" x14ac:dyDescent="0.2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spans="1:26" x14ac:dyDescent="0.2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spans="1:26" x14ac:dyDescent="0.2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spans="1:26" x14ac:dyDescent="0.2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spans="1:26" x14ac:dyDescent="0.2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spans="1:26" x14ac:dyDescent="0.2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spans="1:26" x14ac:dyDescent="0.2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spans="1:26" x14ac:dyDescent="0.2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spans="1:26" x14ac:dyDescent="0.2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spans="1:26" x14ac:dyDescent="0.2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spans="1:26" x14ac:dyDescent="0.2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spans="1:26" x14ac:dyDescent="0.2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spans="1:26" x14ac:dyDescent="0.2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spans="1:26" x14ac:dyDescent="0.2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spans="1:26" x14ac:dyDescent="0.2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spans="1:26" x14ac:dyDescent="0.2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spans="1:26" x14ac:dyDescent="0.2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spans="1:26" x14ac:dyDescent="0.2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spans="1:26" x14ac:dyDescent="0.2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spans="1:26" x14ac:dyDescent="0.2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spans="1:26" x14ac:dyDescent="0.2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spans="1:26" x14ac:dyDescent="0.2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spans="1:26" x14ac:dyDescent="0.2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spans="1:26" x14ac:dyDescent="0.2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spans="1:26" x14ac:dyDescent="0.2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spans="1:26" x14ac:dyDescent="0.2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spans="1:26" x14ac:dyDescent="0.2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spans="1:26" x14ac:dyDescent="0.2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spans="1:26" x14ac:dyDescent="0.2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spans="1:26" x14ac:dyDescent="0.2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spans="1:26" x14ac:dyDescent="0.2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spans="1:26" x14ac:dyDescent="0.2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spans="1:26" x14ac:dyDescent="0.2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spans="1:26" x14ac:dyDescent="0.2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spans="1:26" x14ac:dyDescent="0.2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spans="1:26" x14ac:dyDescent="0.2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spans="1:26" x14ac:dyDescent="0.2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spans="1:26" x14ac:dyDescent="0.2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spans="1:26" x14ac:dyDescent="0.2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spans="1:26" x14ac:dyDescent="0.2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spans="1:26" x14ac:dyDescent="0.2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spans="1:26" x14ac:dyDescent="0.2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spans="1:26" x14ac:dyDescent="0.2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spans="1:26" x14ac:dyDescent="0.2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spans="1:26" x14ac:dyDescent="0.2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spans="1:26" x14ac:dyDescent="0.2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spans="1:26" x14ac:dyDescent="0.2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spans="1:26" x14ac:dyDescent="0.2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spans="1:26" x14ac:dyDescent="0.2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spans="1:26" x14ac:dyDescent="0.2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spans="1:26" x14ac:dyDescent="0.2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spans="1:26" x14ac:dyDescent="0.2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spans="1:26" x14ac:dyDescent="0.2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spans="1:26" x14ac:dyDescent="0.2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spans="1:26" x14ac:dyDescent="0.2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spans="1:26" x14ac:dyDescent="0.2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spans="1:26" x14ac:dyDescent="0.2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spans="1:26" x14ac:dyDescent="0.2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spans="1:26" x14ac:dyDescent="0.2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spans="1:26" x14ac:dyDescent="0.2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spans="1:26" x14ac:dyDescent="0.2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spans="1:26" x14ac:dyDescent="0.2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spans="1:26" x14ac:dyDescent="0.2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spans="1:26" x14ac:dyDescent="0.2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spans="1:26" x14ac:dyDescent="0.2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spans="1:26" x14ac:dyDescent="0.2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spans="1:26" x14ac:dyDescent="0.2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spans="1:26" x14ac:dyDescent="0.2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spans="1:26" x14ac:dyDescent="0.2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spans="1:26" x14ac:dyDescent="0.2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spans="1:26" x14ac:dyDescent="0.2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spans="1:26" x14ac:dyDescent="0.2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spans="1:26" x14ac:dyDescent="0.2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spans="1:26" x14ac:dyDescent="0.2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spans="1:26" x14ac:dyDescent="0.2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spans="1:26" x14ac:dyDescent="0.2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spans="1:26" x14ac:dyDescent="0.2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spans="1:26" x14ac:dyDescent="0.2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spans="1:26" x14ac:dyDescent="0.2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spans="1:26" x14ac:dyDescent="0.2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spans="1:26" x14ac:dyDescent="0.2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spans="1:26" x14ac:dyDescent="0.2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spans="1:26" x14ac:dyDescent="0.2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spans="1:26" x14ac:dyDescent="0.2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spans="1:26" x14ac:dyDescent="0.2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spans="1:26" x14ac:dyDescent="0.2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spans="1:26" x14ac:dyDescent="0.2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spans="1:26" x14ac:dyDescent="0.2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spans="1:26" x14ac:dyDescent="0.2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spans="1:26" x14ac:dyDescent="0.2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spans="1:26" x14ac:dyDescent="0.2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spans="1:26" x14ac:dyDescent="0.2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spans="1:26" x14ac:dyDescent="0.2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spans="1:26" x14ac:dyDescent="0.2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spans="1:26" x14ac:dyDescent="0.2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spans="1:26" x14ac:dyDescent="0.2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spans="1:26" x14ac:dyDescent="0.2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spans="1:26" x14ac:dyDescent="0.2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spans="1:26" x14ac:dyDescent="0.2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spans="1:26" x14ac:dyDescent="0.2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spans="1:26" x14ac:dyDescent="0.2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spans="1:26" x14ac:dyDescent="0.2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spans="1:26" x14ac:dyDescent="0.2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spans="1:26" x14ac:dyDescent="0.2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spans="1:26" x14ac:dyDescent="0.2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spans="1:26" x14ac:dyDescent="0.2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spans="1:26" x14ac:dyDescent="0.2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spans="1:26" x14ac:dyDescent="0.2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spans="1:26" x14ac:dyDescent="0.2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spans="1:26" x14ac:dyDescent="0.2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spans="1:26" x14ac:dyDescent="0.2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spans="1:26" x14ac:dyDescent="0.2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spans="1:26" x14ac:dyDescent="0.2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spans="1:26" x14ac:dyDescent="0.2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spans="1:26" x14ac:dyDescent="0.2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spans="1:26" x14ac:dyDescent="0.2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spans="1:26" x14ac:dyDescent="0.2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spans="1:26" x14ac:dyDescent="0.2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spans="1:26" x14ac:dyDescent="0.2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spans="1:26" x14ac:dyDescent="0.2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spans="1:26" x14ac:dyDescent="0.2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spans="1:26" x14ac:dyDescent="0.2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spans="1:26" x14ac:dyDescent="0.2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spans="1:26" x14ac:dyDescent="0.2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spans="1:26" x14ac:dyDescent="0.2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spans="1:26" x14ac:dyDescent="0.2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spans="1:26" x14ac:dyDescent="0.2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spans="1:26" x14ac:dyDescent="0.2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spans="1:26" x14ac:dyDescent="0.2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spans="1:26" x14ac:dyDescent="0.2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spans="1:26" x14ac:dyDescent="0.2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spans="1:26" x14ac:dyDescent="0.2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spans="1:26" x14ac:dyDescent="0.2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spans="1:26" x14ac:dyDescent="0.2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spans="1:26" x14ac:dyDescent="0.2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spans="1:26" x14ac:dyDescent="0.2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spans="1:26" x14ac:dyDescent="0.2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spans="1:26" x14ac:dyDescent="0.2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spans="1:26" x14ac:dyDescent="0.2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spans="1:26" x14ac:dyDescent="0.2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spans="1:26" x14ac:dyDescent="0.2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spans="1:26" x14ac:dyDescent="0.2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spans="1:26" x14ac:dyDescent="0.2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spans="1:26" x14ac:dyDescent="0.2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spans="1:26" x14ac:dyDescent="0.2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spans="1:26" x14ac:dyDescent="0.2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spans="1:26" x14ac:dyDescent="0.2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spans="1:26" x14ac:dyDescent="0.2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spans="1:26" x14ac:dyDescent="0.2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spans="1:26" x14ac:dyDescent="0.2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spans="1:26" x14ac:dyDescent="0.2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spans="1:26" x14ac:dyDescent="0.2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spans="1:26" x14ac:dyDescent="0.2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spans="1:26" x14ac:dyDescent="0.2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spans="1:26" x14ac:dyDescent="0.2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spans="1:26" x14ac:dyDescent="0.2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spans="1:26" x14ac:dyDescent="0.2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spans="1:26" x14ac:dyDescent="0.2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spans="1:26" x14ac:dyDescent="0.2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spans="1:26" x14ac:dyDescent="0.2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spans="1:26" x14ac:dyDescent="0.2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spans="1:26" x14ac:dyDescent="0.2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spans="1:26" x14ac:dyDescent="0.2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spans="1:26" x14ac:dyDescent="0.2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spans="1:26" x14ac:dyDescent="0.2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spans="1:26" x14ac:dyDescent="0.2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spans="1:26" x14ac:dyDescent="0.2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spans="1:26" x14ac:dyDescent="0.2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spans="1:26" x14ac:dyDescent="0.2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spans="1:26" x14ac:dyDescent="0.2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spans="1:26" x14ac:dyDescent="0.2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spans="1:26" x14ac:dyDescent="0.2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spans="1:26" x14ac:dyDescent="0.2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spans="1:26" x14ac:dyDescent="0.2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spans="1:26" x14ac:dyDescent="0.2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spans="1:26" x14ac:dyDescent="0.2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spans="1:26" x14ac:dyDescent="0.2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spans="1:26" x14ac:dyDescent="0.2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spans="1:26" x14ac:dyDescent="0.2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spans="1:26" x14ac:dyDescent="0.2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spans="1:26" x14ac:dyDescent="0.2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spans="1:26" x14ac:dyDescent="0.2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spans="1:26" x14ac:dyDescent="0.2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spans="1:26" x14ac:dyDescent="0.2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spans="1:26" x14ac:dyDescent="0.2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spans="1:26" x14ac:dyDescent="0.2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spans="1:26" x14ac:dyDescent="0.2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spans="1:26" x14ac:dyDescent="0.2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spans="1:26" x14ac:dyDescent="0.2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spans="1:26" x14ac:dyDescent="0.2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spans="1:26" x14ac:dyDescent="0.2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spans="1:26" x14ac:dyDescent="0.2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spans="1:26" x14ac:dyDescent="0.2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spans="1:26" x14ac:dyDescent="0.2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spans="1:26" x14ac:dyDescent="0.2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spans="1:26" x14ac:dyDescent="0.2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spans="1:26" x14ac:dyDescent="0.2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spans="1:26" x14ac:dyDescent="0.2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spans="1:26" x14ac:dyDescent="0.2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spans="1:26" x14ac:dyDescent="0.2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spans="1:26" x14ac:dyDescent="0.2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spans="1:26" x14ac:dyDescent="0.2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spans="1:26" x14ac:dyDescent="0.2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spans="1:26" x14ac:dyDescent="0.2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spans="1:26" x14ac:dyDescent="0.2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spans="1:26" x14ac:dyDescent="0.2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spans="1:26" x14ac:dyDescent="0.2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spans="1:26" x14ac:dyDescent="0.2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spans="1:26" x14ac:dyDescent="0.2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spans="1:26" x14ac:dyDescent="0.2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spans="1:26" x14ac:dyDescent="0.2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spans="1:26" x14ac:dyDescent="0.2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spans="1:26" x14ac:dyDescent="0.2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spans="1:26" x14ac:dyDescent="0.2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spans="1:26" x14ac:dyDescent="0.2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spans="1:26" x14ac:dyDescent="0.2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spans="1:26" x14ac:dyDescent="0.2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spans="1:26" x14ac:dyDescent="0.2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spans="1:26" x14ac:dyDescent="0.2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spans="1:26" x14ac:dyDescent="0.2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spans="1:26" x14ac:dyDescent="0.2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spans="1:26" x14ac:dyDescent="0.2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spans="1:26" x14ac:dyDescent="0.2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spans="1:26" x14ac:dyDescent="0.2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spans="1:26" x14ac:dyDescent="0.2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spans="1:26" x14ac:dyDescent="0.2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spans="1:26" x14ac:dyDescent="0.2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spans="1:26" x14ac:dyDescent="0.2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spans="1:26" x14ac:dyDescent="0.2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spans="1:26" x14ac:dyDescent="0.2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spans="1:26" x14ac:dyDescent="0.2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spans="1:26" x14ac:dyDescent="0.2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spans="1:26" x14ac:dyDescent="0.2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spans="1:26" x14ac:dyDescent="0.2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 spans="1:26" x14ac:dyDescent="0.2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 spans="1:26" x14ac:dyDescent="0.2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 spans="1:26" x14ac:dyDescent="0.2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 spans="1:26" x14ac:dyDescent="0.2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 spans="1:26" x14ac:dyDescent="0.2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 spans="1:26" x14ac:dyDescent="0.2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 spans="1:26" x14ac:dyDescent="0.2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 spans="1:26" x14ac:dyDescent="0.2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 spans="1:26" x14ac:dyDescent="0.2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 spans="1:26" x14ac:dyDescent="0.2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 spans="1:26" x14ac:dyDescent="0.2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 spans="1:26" x14ac:dyDescent="0.2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 spans="1:26" x14ac:dyDescent="0.2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 spans="1:26" x14ac:dyDescent="0.2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 spans="1:26" x14ac:dyDescent="0.2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 spans="1:26" x14ac:dyDescent="0.2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 spans="1:26" x14ac:dyDescent="0.2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 spans="1:26" x14ac:dyDescent="0.2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 spans="1:26" x14ac:dyDescent="0.2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 spans="1:26" x14ac:dyDescent="0.2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 spans="1:26" x14ac:dyDescent="0.2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 spans="1:26" x14ac:dyDescent="0.2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 spans="1:26" x14ac:dyDescent="0.2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 spans="1:26" x14ac:dyDescent="0.2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 spans="1:26" x14ac:dyDescent="0.2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 spans="1:26" x14ac:dyDescent="0.2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 spans="1:26" x14ac:dyDescent="0.2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 spans="1:26" x14ac:dyDescent="0.2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 spans="1:26" x14ac:dyDescent="0.2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 spans="1:26" x14ac:dyDescent="0.2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 spans="1:26" x14ac:dyDescent="0.2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 spans="1:26" x14ac:dyDescent="0.2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 spans="1:26" x14ac:dyDescent="0.2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 spans="1:26" x14ac:dyDescent="0.2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 spans="1:26" x14ac:dyDescent="0.2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 spans="1:26" x14ac:dyDescent="0.2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 spans="1:26" x14ac:dyDescent="0.2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 spans="1:26" x14ac:dyDescent="0.2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 spans="1:26" x14ac:dyDescent="0.2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 spans="1:26" x14ac:dyDescent="0.2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 spans="1:26" x14ac:dyDescent="0.2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 spans="1:26" x14ac:dyDescent="0.2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 spans="1:26" x14ac:dyDescent="0.2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 spans="1:26" x14ac:dyDescent="0.2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 spans="1:26" x14ac:dyDescent="0.2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 spans="1:26" x14ac:dyDescent="0.2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 spans="1:26" x14ac:dyDescent="0.2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 spans="1:26" x14ac:dyDescent="0.2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 spans="1:26" x14ac:dyDescent="0.2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 spans="1:26" x14ac:dyDescent="0.2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 spans="1:26" x14ac:dyDescent="0.2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 spans="1:26" x14ac:dyDescent="0.2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 spans="1:26" x14ac:dyDescent="0.2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 spans="1:26" x14ac:dyDescent="0.2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 spans="1:26" x14ac:dyDescent="0.2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 spans="1:26" x14ac:dyDescent="0.2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 spans="1:26" x14ac:dyDescent="0.2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 spans="1:26" x14ac:dyDescent="0.2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 spans="1:26" x14ac:dyDescent="0.2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 spans="1:26" x14ac:dyDescent="0.2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 spans="1:26" x14ac:dyDescent="0.2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 spans="1:26" x14ac:dyDescent="0.2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 spans="1:26" x14ac:dyDescent="0.2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 spans="1:26" x14ac:dyDescent="0.2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 spans="1:26" x14ac:dyDescent="0.2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 spans="1:26" x14ac:dyDescent="0.2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 spans="1:26" x14ac:dyDescent="0.2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 spans="1:26" x14ac:dyDescent="0.2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 spans="1:26" x14ac:dyDescent="0.2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 spans="1:26" x14ac:dyDescent="0.2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 spans="1:26" x14ac:dyDescent="0.2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 spans="1:26" x14ac:dyDescent="0.2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 spans="1:26" x14ac:dyDescent="0.2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 spans="1:26" x14ac:dyDescent="0.2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 spans="1:26" x14ac:dyDescent="0.2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 spans="1:26" x14ac:dyDescent="0.2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 spans="1:26" x14ac:dyDescent="0.2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 spans="1:26" x14ac:dyDescent="0.2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 spans="1:26" x14ac:dyDescent="0.2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 spans="1:26" x14ac:dyDescent="0.2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 spans="1:26" x14ac:dyDescent="0.2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 spans="1:26" x14ac:dyDescent="0.2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 spans="1:26" x14ac:dyDescent="0.2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 spans="1:26" x14ac:dyDescent="0.2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 spans="1:26" x14ac:dyDescent="0.2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 spans="1:26" x14ac:dyDescent="0.2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 spans="1:26" x14ac:dyDescent="0.2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 spans="1:26" x14ac:dyDescent="0.2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 spans="1:26" x14ac:dyDescent="0.2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 spans="1:26" x14ac:dyDescent="0.2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 spans="1:26" x14ac:dyDescent="0.2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 spans="1:26" x14ac:dyDescent="0.2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 spans="1:26" x14ac:dyDescent="0.2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 spans="1:26" x14ac:dyDescent="0.2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 spans="1:26" x14ac:dyDescent="0.2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 spans="1:26" x14ac:dyDescent="0.2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 spans="1:26" x14ac:dyDescent="0.2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 spans="1:26" x14ac:dyDescent="0.2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 spans="1:26" x14ac:dyDescent="0.2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 spans="1:26" x14ac:dyDescent="0.2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 spans="1:26" x14ac:dyDescent="0.2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 spans="1:26" x14ac:dyDescent="0.2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 spans="1:26" x14ac:dyDescent="0.2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 spans="1:26" x14ac:dyDescent="0.2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 spans="1:26" x14ac:dyDescent="0.2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 spans="1:26" x14ac:dyDescent="0.2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 spans="1:26" x14ac:dyDescent="0.2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 spans="1:26" x14ac:dyDescent="0.2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 spans="1:26" x14ac:dyDescent="0.2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 spans="1:26" x14ac:dyDescent="0.2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 spans="1:26" x14ac:dyDescent="0.2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 spans="1:26" x14ac:dyDescent="0.2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 spans="1:26" x14ac:dyDescent="0.2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 spans="1:26" x14ac:dyDescent="0.2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 spans="1:26" x14ac:dyDescent="0.2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 spans="1:26" x14ac:dyDescent="0.2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 spans="1:26" x14ac:dyDescent="0.2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 spans="1:26" x14ac:dyDescent="0.2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 spans="1:26" x14ac:dyDescent="0.2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 spans="1:26" x14ac:dyDescent="0.2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 spans="1:26" x14ac:dyDescent="0.2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 spans="1:26" x14ac:dyDescent="0.2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 spans="1:26" x14ac:dyDescent="0.2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 spans="1:26" x14ac:dyDescent="0.2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 spans="1:26" x14ac:dyDescent="0.2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 spans="1:26" x14ac:dyDescent="0.2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 spans="1:26" x14ac:dyDescent="0.2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 spans="1:26" x14ac:dyDescent="0.2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 spans="1:26" x14ac:dyDescent="0.2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 spans="1:26" x14ac:dyDescent="0.2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 spans="1:26" x14ac:dyDescent="0.2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 spans="1:26" x14ac:dyDescent="0.2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 spans="1:26" x14ac:dyDescent="0.2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 spans="1:26" x14ac:dyDescent="0.2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 spans="1:26" x14ac:dyDescent="0.2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 spans="1:26" x14ac:dyDescent="0.2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 spans="1:26" x14ac:dyDescent="0.2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 spans="1:26" x14ac:dyDescent="0.2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 spans="1:26" x14ac:dyDescent="0.2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 spans="1:26" x14ac:dyDescent="0.2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 spans="1:26" x14ac:dyDescent="0.2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 spans="1:26" x14ac:dyDescent="0.2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 spans="1:26" x14ac:dyDescent="0.2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 spans="1:26" x14ac:dyDescent="0.2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 spans="1:26" x14ac:dyDescent="0.2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 spans="1:26" x14ac:dyDescent="0.2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 spans="1:26" x14ac:dyDescent="0.2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 spans="1:26" x14ac:dyDescent="0.2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 spans="1:26" x14ac:dyDescent="0.2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 spans="1:26" x14ac:dyDescent="0.2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 spans="1:26" x14ac:dyDescent="0.2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 spans="1:26" x14ac:dyDescent="0.2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 spans="1:26" x14ac:dyDescent="0.2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 spans="1:26" x14ac:dyDescent="0.2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 spans="1:26" x14ac:dyDescent="0.2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 spans="1:26" x14ac:dyDescent="0.2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 spans="1:26" x14ac:dyDescent="0.2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 spans="1:26" x14ac:dyDescent="0.2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 spans="1:26" x14ac:dyDescent="0.2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 spans="1:26" x14ac:dyDescent="0.2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 spans="1:26" x14ac:dyDescent="0.2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 spans="1:26" x14ac:dyDescent="0.2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 spans="1:26" x14ac:dyDescent="0.2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 spans="1:26" x14ac:dyDescent="0.2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 spans="1:26" x14ac:dyDescent="0.2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 spans="1:26" x14ac:dyDescent="0.2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 spans="1:26" x14ac:dyDescent="0.2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 spans="1:26" x14ac:dyDescent="0.2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 spans="1:26" x14ac:dyDescent="0.2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 spans="1:26" x14ac:dyDescent="0.2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 spans="1:26" x14ac:dyDescent="0.2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 spans="1:26" x14ac:dyDescent="0.2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 spans="1:26" x14ac:dyDescent="0.2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 spans="1:26" x14ac:dyDescent="0.2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 spans="1:26" x14ac:dyDescent="0.2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 spans="1:26" x14ac:dyDescent="0.2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 spans="1:26" x14ac:dyDescent="0.2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 spans="1:26" x14ac:dyDescent="0.2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 spans="1:26" x14ac:dyDescent="0.2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 spans="1:26" x14ac:dyDescent="0.2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 spans="1:26" x14ac:dyDescent="0.2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 spans="1:26" x14ac:dyDescent="0.2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 spans="1:26" x14ac:dyDescent="0.2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 spans="1:26" x14ac:dyDescent="0.2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 spans="1:26" x14ac:dyDescent="0.2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 spans="1:26" x14ac:dyDescent="0.2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 spans="1:26" x14ac:dyDescent="0.2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 spans="1:26" x14ac:dyDescent="0.2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 spans="1:26" x14ac:dyDescent="0.2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 spans="1:26" x14ac:dyDescent="0.2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 spans="1:26" x14ac:dyDescent="0.2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 spans="1:26" x14ac:dyDescent="0.2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 spans="1:26" x14ac:dyDescent="0.2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 spans="1:26" x14ac:dyDescent="0.2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 spans="1:26" x14ac:dyDescent="0.2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 spans="1:26" x14ac:dyDescent="0.2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</row>
    <row r="995" spans="1:26" x14ac:dyDescent="0.2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</row>
    <row r="996" spans="1:26" x14ac:dyDescent="0.2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</row>
    <row r="997" spans="1:26" x14ac:dyDescent="0.2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</row>
    <row r="998" spans="1:26" x14ac:dyDescent="0.2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</row>
    <row r="999" spans="1:26" x14ac:dyDescent="0.2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</row>
    <row r="1000" spans="1:26" x14ac:dyDescent="0.2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3DCCD-702C-7F41-A177-9499EA9E3FC2}">
  <dimension ref="A1:Z1000"/>
  <sheetViews>
    <sheetView tabSelected="1" topLeftCell="A32" workbookViewId="0">
      <selection activeCell="D5" sqref="D5"/>
    </sheetView>
  </sheetViews>
  <sheetFormatPr baseColWidth="10" defaultRowHeight="16" x14ac:dyDescent="0.2"/>
  <cols>
    <col min="1" max="1" width="2.83203125" customWidth="1"/>
  </cols>
  <sheetData>
    <row r="1" spans="1:26" x14ac:dyDescent="0.2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1:26" ht="27" x14ac:dyDescent="0.35">
      <c r="A2" s="74"/>
      <c r="B2" s="75" t="s">
        <v>173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spans="1:26" x14ac:dyDescent="0.2">
      <c r="A3" s="74"/>
      <c r="B3" s="76" t="s">
        <v>82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spans="1:26" x14ac:dyDescent="0.2">
      <c r="A4" s="74"/>
      <c r="B4" s="74"/>
      <c r="C4" s="74"/>
      <c r="D4" s="74"/>
      <c r="E4" s="74"/>
      <c r="F4" s="76" t="s">
        <v>83</v>
      </c>
      <c r="G4" s="74"/>
      <c r="H4" s="74"/>
      <c r="I4" s="74"/>
      <c r="J4" s="74"/>
      <c r="K4" s="76" t="s">
        <v>84</v>
      </c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x14ac:dyDescent="0.2">
      <c r="A5" s="74"/>
      <c r="B5" s="9" t="s">
        <v>85</v>
      </c>
      <c r="C5" s="74"/>
      <c r="D5" s="74"/>
      <c r="E5" s="74"/>
      <c r="F5" s="9" t="s">
        <v>86</v>
      </c>
      <c r="G5" s="9" t="s">
        <v>87</v>
      </c>
      <c r="H5" s="9" t="s">
        <v>88</v>
      </c>
      <c r="I5" s="9" t="s">
        <v>89</v>
      </c>
      <c r="J5" s="9" t="s">
        <v>90</v>
      </c>
      <c r="K5" s="9" t="s">
        <v>91</v>
      </c>
      <c r="L5" s="9" t="s">
        <v>92</v>
      </c>
      <c r="M5" s="9" t="s">
        <v>93</v>
      </c>
      <c r="N5" s="9" t="s">
        <v>94</v>
      </c>
      <c r="O5" s="9" t="s">
        <v>95</v>
      </c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x14ac:dyDescent="0.2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x14ac:dyDescent="0.2">
      <c r="A7" s="74"/>
      <c r="B7" s="77" t="s">
        <v>174</v>
      </c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x14ac:dyDescent="0.2">
      <c r="A8" s="74"/>
      <c r="B8" s="74" t="s">
        <v>114</v>
      </c>
      <c r="C8" s="74"/>
      <c r="D8" s="74"/>
      <c r="E8" s="74"/>
      <c r="F8" s="85">
        <v>76033</v>
      </c>
      <c r="G8" s="85">
        <v>59972</v>
      </c>
      <c r="H8" s="85">
        <v>73795</v>
      </c>
      <c r="I8" s="85">
        <v>100118</v>
      </c>
      <c r="J8" s="85">
        <v>132170</v>
      </c>
      <c r="K8" s="85">
        <v>132522</v>
      </c>
      <c r="L8" s="85">
        <v>156970</v>
      </c>
      <c r="M8" s="85">
        <v>183892</v>
      </c>
      <c r="N8" s="85">
        <v>211878</v>
      </c>
      <c r="O8" s="85">
        <v>239989</v>
      </c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x14ac:dyDescent="0.2">
      <c r="A9" s="74"/>
      <c r="B9" s="74" t="s">
        <v>175</v>
      </c>
      <c r="C9" s="74"/>
      <c r="D9" s="74"/>
      <c r="E9" s="74"/>
      <c r="F9" s="81">
        <v>10273</v>
      </c>
      <c r="G9" s="81">
        <v>13475</v>
      </c>
      <c r="H9" s="81">
        <v>11946</v>
      </c>
      <c r="I9" s="81">
        <v>15311</v>
      </c>
      <c r="J9" s="81">
        <v>21136</v>
      </c>
      <c r="K9" s="85">
        <v>30959</v>
      </c>
      <c r="L9" s="85">
        <v>50864</v>
      </c>
      <c r="M9" s="85">
        <v>76506</v>
      </c>
      <c r="N9" s="85">
        <v>108165</v>
      </c>
      <c r="O9" s="85">
        <v>145711</v>
      </c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 spans="1:26" x14ac:dyDescent="0.2">
      <c r="A10" s="74"/>
      <c r="B10" s="74" t="s">
        <v>176</v>
      </c>
      <c r="C10" s="74"/>
      <c r="D10" s="74"/>
      <c r="E10" s="74"/>
      <c r="F10" s="81">
        <v>15376</v>
      </c>
      <c r="G10" s="81">
        <v>19362</v>
      </c>
      <c r="H10" s="81">
        <v>22460</v>
      </c>
      <c r="I10" s="81">
        <v>22785</v>
      </c>
      <c r="J10" s="81">
        <v>24953</v>
      </c>
      <c r="K10" s="85">
        <v>30857</v>
      </c>
      <c r="L10" s="85">
        <v>37474</v>
      </c>
      <c r="M10" s="85">
        <v>44705</v>
      </c>
      <c r="N10" s="85">
        <v>52372</v>
      </c>
      <c r="O10" s="85">
        <v>60227</v>
      </c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 spans="1:26" x14ac:dyDescent="0.2">
      <c r="A11" s="74"/>
      <c r="B11" s="74" t="s">
        <v>177</v>
      </c>
      <c r="C11" s="74"/>
      <c r="D11" s="74"/>
      <c r="E11" s="74"/>
      <c r="F11" s="81">
        <v>-12270</v>
      </c>
      <c r="G11" s="81">
        <v>5519</v>
      </c>
      <c r="H11" s="84">
        <v>823</v>
      </c>
      <c r="I11" s="81">
        <v>-2671</v>
      </c>
      <c r="J11" s="81">
        <v>-24620</v>
      </c>
      <c r="K11" s="84" t="s">
        <v>103</v>
      </c>
      <c r="L11" s="84" t="s">
        <v>103</v>
      </c>
      <c r="M11" s="84" t="s">
        <v>103</v>
      </c>
      <c r="N11" s="84" t="s">
        <v>103</v>
      </c>
      <c r="O11" s="84" t="s">
        <v>103</v>
      </c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 spans="1:26" x14ac:dyDescent="0.2">
      <c r="A12" s="74"/>
      <c r="B12" s="74" t="s">
        <v>178</v>
      </c>
      <c r="C12" s="74"/>
      <c r="D12" s="74"/>
      <c r="E12" s="74"/>
      <c r="F12" s="81">
        <v>3763</v>
      </c>
      <c r="G12" s="81">
        <v>-4598</v>
      </c>
      <c r="H12" s="81">
        <v>-3433</v>
      </c>
      <c r="I12" s="81">
        <v>-1838</v>
      </c>
      <c r="J12" s="81">
        <v>10456</v>
      </c>
      <c r="K12" s="84" t="s">
        <v>103</v>
      </c>
      <c r="L12" s="84" t="s">
        <v>103</v>
      </c>
      <c r="M12" s="84" t="s">
        <v>103</v>
      </c>
      <c r="N12" s="84" t="s">
        <v>103</v>
      </c>
      <c r="O12" s="84" t="s">
        <v>103</v>
      </c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 spans="1:26" x14ac:dyDescent="0.2">
      <c r="A13" s="74"/>
      <c r="B13" s="74" t="s">
        <v>179</v>
      </c>
      <c r="C13" s="74"/>
      <c r="D13" s="74"/>
      <c r="E13" s="74"/>
      <c r="F13" s="81">
        <v>-9095</v>
      </c>
      <c r="G13" s="81">
        <v>-2317</v>
      </c>
      <c r="H13" s="81">
        <v>-7833</v>
      </c>
      <c r="I13" s="81">
        <v>-5891</v>
      </c>
      <c r="J13" s="81">
        <v>-8779</v>
      </c>
      <c r="K13" s="85">
        <v>-14754</v>
      </c>
      <c r="L13" s="85">
        <v>-16650</v>
      </c>
      <c r="M13" s="85">
        <v>-18195</v>
      </c>
      <c r="N13" s="85">
        <v>-19289</v>
      </c>
      <c r="O13" s="85">
        <v>-19766</v>
      </c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 spans="1:26" x14ac:dyDescent="0.2">
      <c r="A14" s="74"/>
      <c r="B14" s="74" t="s">
        <v>180</v>
      </c>
      <c r="C14" s="74"/>
      <c r="D14" s="74"/>
      <c r="E14" s="74"/>
      <c r="F14" s="84">
        <v>283</v>
      </c>
      <c r="G14" s="84">
        <v>707</v>
      </c>
      <c r="H14" s="84">
        <v>664</v>
      </c>
      <c r="I14" s="84">
        <v>359</v>
      </c>
      <c r="J14" s="84">
        <v>907</v>
      </c>
      <c r="K14" s="85">
        <v>2731</v>
      </c>
      <c r="L14" s="85">
        <v>3202</v>
      </c>
      <c r="M14" s="85">
        <v>3499</v>
      </c>
      <c r="N14" s="85">
        <v>3709</v>
      </c>
      <c r="O14" s="85">
        <v>3801</v>
      </c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 spans="1:26" x14ac:dyDescent="0.2">
      <c r="A15" s="74"/>
      <c r="B15" s="74" t="s">
        <v>181</v>
      </c>
      <c r="C15" s="74"/>
      <c r="D15" s="74"/>
      <c r="E15" s="74"/>
      <c r="F15" s="81">
        <v>7289</v>
      </c>
      <c r="G15" s="84">
        <v>-625</v>
      </c>
      <c r="H15" s="81">
        <v>3324</v>
      </c>
      <c r="I15" s="81">
        <v>-2874</v>
      </c>
      <c r="J15" s="81">
        <v>8490</v>
      </c>
      <c r="K15" s="82">
        <v>7165</v>
      </c>
      <c r="L15" s="82">
        <v>7083</v>
      </c>
      <c r="M15" s="82">
        <v>6724</v>
      </c>
      <c r="N15" s="82">
        <v>6486</v>
      </c>
      <c r="O15" s="82">
        <v>8081</v>
      </c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 spans="1:26" x14ac:dyDescent="0.2">
      <c r="A16" s="74"/>
      <c r="B16" s="9" t="s">
        <v>182</v>
      </c>
      <c r="C16" s="74"/>
      <c r="D16" s="74"/>
      <c r="E16" s="74"/>
      <c r="F16" s="83">
        <v>-1523</v>
      </c>
      <c r="G16" s="83">
        <v>-2235</v>
      </c>
      <c r="H16" s="83">
        <v>-3845</v>
      </c>
      <c r="I16" s="83">
        <v>-8406</v>
      </c>
      <c r="J16" s="9">
        <v>618</v>
      </c>
      <c r="K16" s="79">
        <v>-4858</v>
      </c>
      <c r="L16" s="79">
        <v>-6365</v>
      </c>
      <c r="M16" s="79">
        <v>-7972</v>
      </c>
      <c r="N16" s="79">
        <v>-9094</v>
      </c>
      <c r="O16" s="79">
        <v>-7884</v>
      </c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 spans="1:26" x14ac:dyDescent="0.2">
      <c r="A17" s="74"/>
      <c r="B17" s="9" t="s">
        <v>183</v>
      </c>
      <c r="C17" s="74"/>
      <c r="D17" s="74"/>
      <c r="E17" s="74"/>
      <c r="F17" s="83">
        <v>91652</v>
      </c>
      <c r="G17" s="83">
        <v>91495</v>
      </c>
      <c r="H17" s="83">
        <v>101746</v>
      </c>
      <c r="I17" s="83">
        <v>125299</v>
      </c>
      <c r="J17" s="83">
        <v>164713</v>
      </c>
      <c r="K17" s="83">
        <v>189480</v>
      </c>
      <c r="L17" s="83">
        <v>238943</v>
      </c>
      <c r="M17" s="83">
        <v>297131</v>
      </c>
      <c r="N17" s="83">
        <v>363321</v>
      </c>
      <c r="O17" s="83">
        <v>438044</v>
      </c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 spans="1:26" x14ac:dyDescent="0.2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 spans="1:26" x14ac:dyDescent="0.2">
      <c r="A19" s="74"/>
      <c r="B19" s="77" t="s">
        <v>184</v>
      </c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 spans="1:26" x14ac:dyDescent="0.2">
      <c r="A20" s="74"/>
      <c r="B20" s="74" t="s">
        <v>185</v>
      </c>
      <c r="C20" s="74"/>
      <c r="D20" s="74"/>
      <c r="E20" s="74"/>
      <c r="F20" s="81">
        <v>-24640</v>
      </c>
      <c r="G20" s="81">
        <v>-31485</v>
      </c>
      <c r="H20" s="81">
        <v>-32251</v>
      </c>
      <c r="I20" s="81">
        <v>-52535</v>
      </c>
      <c r="J20" s="81">
        <v>-91447</v>
      </c>
      <c r="K20" s="85">
        <v>-195000</v>
      </c>
      <c r="L20" s="85">
        <v>-204812</v>
      </c>
      <c r="M20" s="85">
        <v>-206153</v>
      </c>
      <c r="N20" s="85">
        <v>-196776</v>
      </c>
      <c r="O20" s="85">
        <v>-174853</v>
      </c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 spans="1:26" x14ac:dyDescent="0.2">
      <c r="A21" s="74"/>
      <c r="B21" s="74" t="s">
        <v>186</v>
      </c>
      <c r="C21" s="74"/>
      <c r="D21" s="74"/>
      <c r="E21" s="74"/>
      <c r="F21" s="81">
        <v>-2618</v>
      </c>
      <c r="G21" s="81">
        <v>-6969</v>
      </c>
      <c r="H21" s="84">
        <v>-495</v>
      </c>
      <c r="I21" s="81">
        <v>-2931</v>
      </c>
      <c r="J21" s="81">
        <v>-1592</v>
      </c>
      <c r="K21" s="84" t="s">
        <v>103</v>
      </c>
      <c r="L21" s="84" t="s">
        <v>103</v>
      </c>
      <c r="M21" s="84" t="s">
        <v>103</v>
      </c>
      <c r="N21" s="84" t="s">
        <v>103</v>
      </c>
      <c r="O21" s="84" t="s">
        <v>103</v>
      </c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spans="1:26" x14ac:dyDescent="0.2">
      <c r="A22" s="74"/>
      <c r="B22" s="74" t="s">
        <v>187</v>
      </c>
      <c r="C22" s="74"/>
      <c r="D22" s="74"/>
      <c r="E22" s="74"/>
      <c r="F22" s="81">
        <v>-8806</v>
      </c>
      <c r="G22" s="81">
        <v>16567</v>
      </c>
      <c r="H22" s="81">
        <v>6734</v>
      </c>
      <c r="I22" s="81">
        <v>12597</v>
      </c>
      <c r="J22" s="81">
        <v>-24882</v>
      </c>
      <c r="K22" s="85">
        <v>21855</v>
      </c>
      <c r="L22" s="90" t="s">
        <v>103</v>
      </c>
      <c r="M22" s="90" t="s">
        <v>103</v>
      </c>
      <c r="N22" s="90" t="s">
        <v>103</v>
      </c>
      <c r="O22" s="90" t="s">
        <v>103</v>
      </c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 spans="1:26" x14ac:dyDescent="0.2">
      <c r="A23" s="74"/>
      <c r="B23" s="74" t="s">
        <v>188</v>
      </c>
      <c r="C23" s="74"/>
      <c r="D23" s="74"/>
      <c r="E23" s="74"/>
      <c r="F23" s="84">
        <v>541</v>
      </c>
      <c r="G23" s="81">
        <v>1589</v>
      </c>
      <c r="H23" s="81">
        <v>-1051</v>
      </c>
      <c r="I23" s="81">
        <v>-2667</v>
      </c>
      <c r="J23" s="81">
        <v>-2370</v>
      </c>
      <c r="K23" s="84" t="s">
        <v>103</v>
      </c>
      <c r="L23" s="84" t="s">
        <v>103</v>
      </c>
      <c r="M23" s="84" t="s">
        <v>103</v>
      </c>
      <c r="N23" s="84" t="s">
        <v>103</v>
      </c>
      <c r="O23" s="84" t="s">
        <v>103</v>
      </c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 spans="1:26" x14ac:dyDescent="0.2">
      <c r="A24" s="74"/>
      <c r="B24" s="9" t="s">
        <v>189</v>
      </c>
      <c r="C24" s="74"/>
      <c r="D24" s="74"/>
      <c r="E24" s="74"/>
      <c r="F24" s="83">
        <v>-35523</v>
      </c>
      <c r="G24" s="83">
        <v>-20298</v>
      </c>
      <c r="H24" s="83">
        <v>-27063</v>
      </c>
      <c r="I24" s="83">
        <v>-45536</v>
      </c>
      <c r="J24" s="83">
        <v>-120291</v>
      </c>
      <c r="K24" s="83">
        <v>-173145</v>
      </c>
      <c r="L24" s="83">
        <v>-204812</v>
      </c>
      <c r="M24" s="83">
        <v>-206153</v>
      </c>
      <c r="N24" s="83">
        <v>-196776</v>
      </c>
      <c r="O24" s="83">
        <v>-174853</v>
      </c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 spans="1:26" x14ac:dyDescent="0.2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 spans="1:26" x14ac:dyDescent="0.2">
      <c r="A26" s="74"/>
      <c r="B26" s="77" t="s">
        <v>190</v>
      </c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 spans="1:26" x14ac:dyDescent="0.2">
      <c r="A27" s="74"/>
      <c r="B27" s="74" t="s">
        <v>191</v>
      </c>
      <c r="C27" s="74"/>
      <c r="D27" s="74"/>
      <c r="E27" s="74"/>
      <c r="F27" s="81">
        <v>-1236</v>
      </c>
      <c r="G27" s="81">
        <v>-1196</v>
      </c>
      <c r="H27" s="84">
        <v>-760</v>
      </c>
      <c r="I27" s="84">
        <v>888</v>
      </c>
      <c r="J27" s="81">
        <v>32137</v>
      </c>
      <c r="K27" s="74" t="s">
        <v>103</v>
      </c>
      <c r="L27" s="74" t="s">
        <v>103</v>
      </c>
      <c r="M27" s="74" t="s">
        <v>103</v>
      </c>
      <c r="N27" s="74" t="s">
        <v>103</v>
      </c>
      <c r="O27" s="74" t="s">
        <v>103</v>
      </c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 spans="1:26" x14ac:dyDescent="0.2">
      <c r="A28" s="74"/>
      <c r="B28" s="74" t="s">
        <v>192</v>
      </c>
      <c r="C28" s="74"/>
      <c r="D28" s="74"/>
      <c r="E28" s="74"/>
      <c r="F28" s="84" t="s">
        <v>103</v>
      </c>
      <c r="G28" s="84" t="s">
        <v>103</v>
      </c>
      <c r="H28" s="84" t="s">
        <v>103</v>
      </c>
      <c r="I28" s="84" t="s">
        <v>103</v>
      </c>
      <c r="J28" s="84" t="s">
        <v>103</v>
      </c>
      <c r="K28" s="84" t="s">
        <v>103</v>
      </c>
      <c r="L28" s="84" t="s">
        <v>103</v>
      </c>
      <c r="M28" s="84" t="s">
        <v>103</v>
      </c>
      <c r="N28" s="84" t="s">
        <v>103</v>
      </c>
      <c r="O28" s="84" t="s">
        <v>103</v>
      </c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 spans="1:26" x14ac:dyDescent="0.2">
      <c r="A29" s="74"/>
      <c r="B29" s="74" t="s">
        <v>193</v>
      </c>
      <c r="C29" s="74"/>
      <c r="D29" s="74"/>
      <c r="E29" s="74"/>
      <c r="F29" s="81">
        <v>-50274</v>
      </c>
      <c r="G29" s="81">
        <v>-59296</v>
      </c>
      <c r="H29" s="81">
        <v>-61504</v>
      </c>
      <c r="I29" s="81">
        <v>-62222</v>
      </c>
      <c r="J29" s="81">
        <v>-45709</v>
      </c>
      <c r="K29" s="74" t="s">
        <v>103</v>
      </c>
      <c r="L29" s="82">
        <v>-1193</v>
      </c>
      <c r="M29" s="82">
        <v>-39311</v>
      </c>
      <c r="N29" s="82">
        <v>-91229</v>
      </c>
      <c r="O29" s="82">
        <v>-158870</v>
      </c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 spans="1:26" x14ac:dyDescent="0.2">
      <c r="A30" s="74"/>
      <c r="B30" s="74" t="s">
        <v>194</v>
      </c>
      <c r="C30" s="74"/>
      <c r="D30" s="74"/>
      <c r="E30" s="74"/>
      <c r="F30" s="84" t="s">
        <v>103</v>
      </c>
      <c r="G30" s="84" t="s">
        <v>103</v>
      </c>
      <c r="H30" s="84" t="s">
        <v>103</v>
      </c>
      <c r="I30" s="81">
        <v>-7363</v>
      </c>
      <c r="J30" s="81">
        <v>-10049</v>
      </c>
      <c r="K30" s="85">
        <v>-10072</v>
      </c>
      <c r="L30" s="85">
        <v>-11930</v>
      </c>
      <c r="M30" s="85">
        <v>-13976</v>
      </c>
      <c r="N30" s="85">
        <v>-16103</v>
      </c>
      <c r="O30" s="85">
        <v>-18239</v>
      </c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 spans="1:26" x14ac:dyDescent="0.2">
      <c r="A31" s="74"/>
      <c r="B31" s="74" t="s">
        <v>195</v>
      </c>
      <c r="C31" s="74"/>
      <c r="D31" s="74"/>
      <c r="E31" s="74"/>
      <c r="F31" s="81">
        <v>-9852</v>
      </c>
      <c r="G31" s="81">
        <v>-9265</v>
      </c>
      <c r="H31" s="81">
        <v>-9829</v>
      </c>
      <c r="I31" s="81">
        <v>-11036</v>
      </c>
      <c r="J31" s="81">
        <v>-13767</v>
      </c>
      <c r="K31" s="82">
        <v>-16971</v>
      </c>
      <c r="L31" s="82">
        <v>-20611</v>
      </c>
      <c r="M31" s="82">
        <v>-24588</v>
      </c>
      <c r="N31" s="82">
        <v>-28804</v>
      </c>
      <c r="O31" s="82">
        <v>-33125</v>
      </c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 spans="1:26" x14ac:dyDescent="0.2">
      <c r="A32" s="74"/>
      <c r="B32" s="9" t="s">
        <v>196</v>
      </c>
      <c r="C32" s="74"/>
      <c r="D32" s="74"/>
      <c r="E32" s="74"/>
      <c r="F32" s="83">
        <v>-61362</v>
      </c>
      <c r="G32" s="83">
        <v>-69757</v>
      </c>
      <c r="H32" s="83">
        <v>-72093</v>
      </c>
      <c r="I32" s="83">
        <v>-79733</v>
      </c>
      <c r="J32" s="83">
        <v>-37388</v>
      </c>
      <c r="K32" s="83">
        <v>-27043</v>
      </c>
      <c r="L32" s="83">
        <v>-33733</v>
      </c>
      <c r="M32" s="83">
        <v>-77875</v>
      </c>
      <c r="N32" s="83">
        <v>-136136</v>
      </c>
      <c r="O32" s="83">
        <v>-210234</v>
      </c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 spans="1:26" x14ac:dyDescent="0.2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 spans="1:26" x14ac:dyDescent="0.2">
      <c r="A34" s="74"/>
      <c r="B34" s="74" t="s">
        <v>197</v>
      </c>
      <c r="C34" s="74"/>
      <c r="D34" s="74"/>
      <c r="E34" s="74"/>
      <c r="F34" s="84">
        <v>-287</v>
      </c>
      <c r="G34" s="84">
        <v>-506</v>
      </c>
      <c r="H34" s="84">
        <v>-421</v>
      </c>
      <c r="I34" s="84">
        <v>-612</v>
      </c>
      <c r="J34" s="84">
        <v>208</v>
      </c>
      <c r="K34" s="84" t="s">
        <v>103</v>
      </c>
      <c r="L34" s="84" t="s">
        <v>103</v>
      </c>
      <c r="M34" s="84" t="s">
        <v>103</v>
      </c>
      <c r="N34" s="84" t="s">
        <v>103</v>
      </c>
      <c r="O34" s="84" t="s">
        <v>103</v>
      </c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 spans="1:26" x14ac:dyDescent="0.2">
      <c r="A35" s="74"/>
      <c r="B35" s="9" t="s">
        <v>198</v>
      </c>
      <c r="C35" s="74"/>
      <c r="D35" s="74"/>
      <c r="E35" s="74"/>
      <c r="F35" s="83">
        <v>-5520</v>
      </c>
      <c r="G35" s="9">
        <v>934</v>
      </c>
      <c r="H35" s="83">
        <v>2169</v>
      </c>
      <c r="I35" s="9">
        <v>-582</v>
      </c>
      <c r="J35" s="83">
        <v>7242</v>
      </c>
      <c r="K35" s="83">
        <v>-10708</v>
      </c>
      <c r="L35" s="9">
        <v>398</v>
      </c>
      <c r="M35" s="83">
        <v>13104</v>
      </c>
      <c r="N35" s="83">
        <v>30410</v>
      </c>
      <c r="O35" s="83">
        <v>52957</v>
      </c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 spans="1:26" x14ac:dyDescent="0.2">
      <c r="A36" s="74"/>
      <c r="B36" s="74" t="s">
        <v>199</v>
      </c>
      <c r="C36" s="74"/>
      <c r="D36" s="74"/>
      <c r="E36" s="74"/>
      <c r="F36" s="81">
        <v>26465</v>
      </c>
      <c r="G36" s="82">
        <v>20945</v>
      </c>
      <c r="H36" s="82">
        <v>21879</v>
      </c>
      <c r="I36" s="82">
        <v>24048</v>
      </c>
      <c r="J36" s="82">
        <v>23466</v>
      </c>
      <c r="K36" s="82">
        <v>30708</v>
      </c>
      <c r="L36" s="82">
        <v>20000</v>
      </c>
      <c r="M36" s="82">
        <v>20398</v>
      </c>
      <c r="N36" s="82">
        <v>33501</v>
      </c>
      <c r="O36" s="82">
        <v>63911</v>
      </c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spans="1:26" x14ac:dyDescent="0.2">
      <c r="A37" s="74"/>
      <c r="B37" s="74" t="s">
        <v>200</v>
      </c>
      <c r="C37" s="74"/>
      <c r="D37" s="74"/>
      <c r="E37" s="74"/>
      <c r="F37" s="90" t="s">
        <v>103</v>
      </c>
      <c r="G37" s="90" t="s">
        <v>103</v>
      </c>
      <c r="H37" s="90" t="s">
        <v>103</v>
      </c>
      <c r="I37" s="90" t="s">
        <v>103</v>
      </c>
      <c r="J37" s="90" t="s">
        <v>103</v>
      </c>
      <c r="K37" s="84" t="s">
        <v>103</v>
      </c>
      <c r="L37" s="84" t="s">
        <v>103</v>
      </c>
      <c r="M37" s="84" t="s">
        <v>103</v>
      </c>
      <c r="N37" s="84" t="s">
        <v>103</v>
      </c>
      <c r="O37" s="84" t="s">
        <v>103</v>
      </c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spans="1:26" x14ac:dyDescent="0.2">
      <c r="A38" s="74"/>
      <c r="B38" s="9" t="s">
        <v>201</v>
      </c>
      <c r="C38" s="74"/>
      <c r="D38" s="74"/>
      <c r="E38" s="74"/>
      <c r="F38" s="83">
        <v>20945</v>
      </c>
      <c r="G38" s="83">
        <v>21879</v>
      </c>
      <c r="H38" s="83">
        <v>24048</v>
      </c>
      <c r="I38" s="83">
        <v>23466</v>
      </c>
      <c r="J38" s="83">
        <v>30708</v>
      </c>
      <c r="K38" s="83">
        <v>20000</v>
      </c>
      <c r="L38" s="83">
        <v>20398</v>
      </c>
      <c r="M38" s="83">
        <v>33501</v>
      </c>
      <c r="N38" s="83">
        <v>63911</v>
      </c>
      <c r="O38" s="83">
        <v>116867</v>
      </c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spans="1:26" x14ac:dyDescent="0.2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spans="1:26" x14ac:dyDescent="0.2">
      <c r="A40" s="74"/>
      <c r="B40" s="77" t="s">
        <v>162</v>
      </c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spans="1:26" x14ac:dyDescent="0.2">
      <c r="A41" s="74"/>
      <c r="B41" s="9" t="s">
        <v>202</v>
      </c>
      <c r="C41" s="74"/>
      <c r="D41" s="74"/>
      <c r="E41" s="74"/>
      <c r="F41" s="86" t="s">
        <v>103</v>
      </c>
      <c r="G41" s="86" t="s">
        <v>103</v>
      </c>
      <c r="H41" s="86" t="s">
        <v>103</v>
      </c>
      <c r="I41" s="86" t="s">
        <v>103</v>
      </c>
      <c r="J41" s="86" t="s">
        <v>103</v>
      </c>
      <c r="K41" s="86" t="s">
        <v>103</v>
      </c>
      <c r="L41" s="86" t="s">
        <v>103</v>
      </c>
      <c r="M41" s="86" t="s">
        <v>103</v>
      </c>
      <c r="N41" s="86" t="s">
        <v>103</v>
      </c>
      <c r="O41" s="86" t="s">
        <v>103</v>
      </c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spans="1:26" x14ac:dyDescent="0.2">
      <c r="A42" s="74"/>
      <c r="B42" s="9" t="s">
        <v>203</v>
      </c>
      <c r="C42" s="74"/>
      <c r="D42" s="74"/>
      <c r="E42" s="74"/>
      <c r="F42" s="86" t="s">
        <v>103</v>
      </c>
      <c r="G42" s="86" t="s">
        <v>103</v>
      </c>
      <c r="H42" s="86" t="s">
        <v>103</v>
      </c>
      <c r="I42" s="86" t="s">
        <v>103</v>
      </c>
      <c r="J42" s="86" t="s">
        <v>103</v>
      </c>
      <c r="K42" s="86" t="s">
        <v>103</v>
      </c>
      <c r="L42" s="86" t="s">
        <v>103</v>
      </c>
      <c r="M42" s="86" t="s">
        <v>103</v>
      </c>
      <c r="N42" s="86" t="s">
        <v>103</v>
      </c>
      <c r="O42" s="86" t="s">
        <v>103</v>
      </c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spans="1:26" x14ac:dyDescent="0.2">
      <c r="A43" s="74"/>
      <c r="B43" s="9" t="s">
        <v>204</v>
      </c>
      <c r="C43" s="74"/>
      <c r="D43" s="74"/>
      <c r="E43" s="74"/>
      <c r="F43" s="83">
        <v>67012</v>
      </c>
      <c r="G43" s="83">
        <v>60010</v>
      </c>
      <c r="H43" s="83">
        <v>69495</v>
      </c>
      <c r="I43" s="83">
        <v>72764</v>
      </c>
      <c r="J43" s="83">
        <v>73266</v>
      </c>
      <c r="K43" s="83">
        <v>-5520</v>
      </c>
      <c r="L43" s="83">
        <v>34131</v>
      </c>
      <c r="M43" s="83">
        <v>90979</v>
      </c>
      <c r="N43" s="83">
        <v>166545</v>
      </c>
      <c r="O43" s="83">
        <v>263191</v>
      </c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spans="1:26" x14ac:dyDescent="0.2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spans="1:26" x14ac:dyDescent="0.2">
      <c r="A45" s="74"/>
      <c r="B45" s="77" t="s">
        <v>124</v>
      </c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spans="1:26" x14ac:dyDescent="0.2">
      <c r="A46" s="74"/>
      <c r="B46" s="74" t="s">
        <v>205</v>
      </c>
      <c r="C46" s="74"/>
      <c r="D46" s="74"/>
      <c r="E46" s="74"/>
      <c r="F46" s="89">
        <v>0.06</v>
      </c>
      <c r="G46" s="89">
        <v>6.8000000000000005E-2</v>
      </c>
      <c r="H46" s="89">
        <v>7.2999999999999995E-2</v>
      </c>
      <c r="I46" s="89">
        <v>6.5000000000000002E-2</v>
      </c>
      <c r="J46" s="89">
        <v>6.2E-2</v>
      </c>
      <c r="K46" s="88">
        <v>6.2E-2</v>
      </c>
      <c r="L46" s="88">
        <v>6.2E-2</v>
      </c>
      <c r="M46" s="88">
        <v>6.2E-2</v>
      </c>
      <c r="N46" s="88">
        <v>6.2E-2</v>
      </c>
      <c r="O46" s="88">
        <v>6.2E-2</v>
      </c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spans="1:26" x14ac:dyDescent="0.2">
      <c r="A47" s="74"/>
      <c r="B47" s="74" t="s">
        <v>206</v>
      </c>
      <c r="C47" s="74"/>
      <c r="D47" s="74"/>
      <c r="E47" s="74"/>
      <c r="F47" s="90" t="s">
        <v>103</v>
      </c>
      <c r="G47" s="90" t="s">
        <v>103</v>
      </c>
      <c r="H47" s="90" t="s">
        <v>103</v>
      </c>
      <c r="I47" s="89">
        <v>7.3999999999999996E-2</v>
      </c>
      <c r="J47" s="89">
        <v>7.5999999999999998E-2</v>
      </c>
      <c r="K47" s="88">
        <v>7.5999999999999998E-2</v>
      </c>
      <c r="L47" s="88">
        <v>7.5999999999999998E-2</v>
      </c>
      <c r="M47" s="88">
        <v>7.5999999999999998E-2</v>
      </c>
      <c r="N47" s="88">
        <v>7.5999999999999998E-2</v>
      </c>
      <c r="O47" s="88">
        <v>7.5999999999999998E-2</v>
      </c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spans="1:26" x14ac:dyDescent="0.2">
      <c r="A48" s="74"/>
      <c r="B48" s="74" t="s">
        <v>207</v>
      </c>
      <c r="C48" s="74"/>
      <c r="D48" s="74"/>
      <c r="E48" s="74"/>
      <c r="F48" s="74"/>
      <c r="G48" s="74"/>
      <c r="H48" s="74"/>
      <c r="I48" s="74"/>
      <c r="J48" s="74"/>
      <c r="K48" s="88">
        <v>0.75</v>
      </c>
      <c r="L48" s="88">
        <v>0.75</v>
      </c>
      <c r="M48" s="88">
        <v>0.75</v>
      </c>
      <c r="N48" s="88">
        <v>0.75</v>
      </c>
      <c r="O48" s="88">
        <v>0.75</v>
      </c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spans="1:26" x14ac:dyDescent="0.2">
      <c r="A49" s="74"/>
      <c r="B49" s="74" t="s">
        <v>208</v>
      </c>
      <c r="C49" s="74"/>
      <c r="D49" s="74"/>
      <c r="E49" s="74"/>
      <c r="F49" s="87">
        <v>0.64100000000000001</v>
      </c>
      <c r="G49" s="87">
        <v>0.47899999999999998</v>
      </c>
      <c r="H49" s="87">
        <v>0.438</v>
      </c>
      <c r="I49" s="87">
        <v>0.48399999999999999</v>
      </c>
      <c r="J49" s="87">
        <v>0.55200000000000005</v>
      </c>
      <c r="K49" s="88">
        <v>0.55000000000000004</v>
      </c>
      <c r="L49" s="88">
        <v>0.55000000000000004</v>
      </c>
      <c r="M49" s="88">
        <v>0.55000000000000004</v>
      </c>
      <c r="N49" s="88">
        <v>0.55000000000000004</v>
      </c>
      <c r="O49" s="88">
        <v>0.55000000000000004</v>
      </c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spans="1:26" x14ac:dyDescent="0.2">
      <c r="A50" s="74"/>
      <c r="B50" s="74" t="s">
        <v>209</v>
      </c>
      <c r="C50" s="74"/>
      <c r="D50" s="74"/>
      <c r="E50" s="74"/>
      <c r="F50" s="74"/>
      <c r="G50" s="74"/>
      <c r="H50" s="74"/>
      <c r="I50" s="74"/>
      <c r="J50" s="74"/>
      <c r="K50" s="84" t="s">
        <v>103</v>
      </c>
      <c r="L50" s="84" t="s">
        <v>103</v>
      </c>
      <c r="M50" s="84" t="s">
        <v>103</v>
      </c>
      <c r="N50" s="84" t="s">
        <v>103</v>
      </c>
      <c r="O50" s="84" t="s">
        <v>103</v>
      </c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spans="1:26" x14ac:dyDescent="0.2">
      <c r="A51" s="74"/>
      <c r="B51" s="74" t="s">
        <v>210</v>
      </c>
      <c r="C51" s="74"/>
      <c r="D51" s="74"/>
      <c r="E51" s="74"/>
      <c r="F51" s="74"/>
      <c r="G51" s="74"/>
      <c r="H51" s="74"/>
      <c r="I51" s="74"/>
      <c r="J51" s="74"/>
      <c r="K51" s="81">
        <v>20000</v>
      </c>
      <c r="L51" s="81">
        <v>20000</v>
      </c>
      <c r="M51" s="81">
        <v>20000</v>
      </c>
      <c r="N51" s="81">
        <v>20000</v>
      </c>
      <c r="O51" s="81">
        <v>20000</v>
      </c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spans="1:26" x14ac:dyDescent="0.2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spans="1:26" x14ac:dyDescent="0.2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spans="1:26" x14ac:dyDescent="0.2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spans="1:26" x14ac:dyDescent="0.2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spans="1:26" x14ac:dyDescent="0.2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spans="1:26" x14ac:dyDescent="0.2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spans="1:26" x14ac:dyDescent="0.2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spans="1:26" x14ac:dyDescent="0.2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spans="1:26" x14ac:dyDescent="0.2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spans="1:26" x14ac:dyDescent="0.2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spans="1:26" x14ac:dyDescent="0.2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spans="1:26" x14ac:dyDescent="0.2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spans="1:26" x14ac:dyDescent="0.2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spans="1:26" x14ac:dyDescent="0.2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spans="1:26" x14ac:dyDescent="0.2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spans="1:26" x14ac:dyDescent="0.2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spans="1:26" x14ac:dyDescent="0.2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spans="1:26" x14ac:dyDescent="0.2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spans="1:26" x14ac:dyDescent="0.2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spans="1:26" x14ac:dyDescent="0.2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spans="1:26" x14ac:dyDescent="0.2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spans="1:26" x14ac:dyDescent="0.2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spans="1:26" x14ac:dyDescent="0.2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spans="1:26" x14ac:dyDescent="0.2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spans="1:26" x14ac:dyDescent="0.2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spans="1:26" x14ac:dyDescent="0.2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spans="1:26" x14ac:dyDescent="0.2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spans="1:26" x14ac:dyDescent="0.2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spans="1:26" x14ac:dyDescent="0.2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spans="1:26" x14ac:dyDescent="0.2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spans="1:26" x14ac:dyDescent="0.2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spans="1:26" x14ac:dyDescent="0.2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spans="1:26" x14ac:dyDescent="0.2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spans="1:26" x14ac:dyDescent="0.2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spans="1:26" x14ac:dyDescent="0.2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spans="1:26" x14ac:dyDescent="0.2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spans="1:26" x14ac:dyDescent="0.2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spans="1:26" x14ac:dyDescent="0.2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spans="1:26" x14ac:dyDescent="0.2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spans="1:26" x14ac:dyDescent="0.2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spans="1:26" x14ac:dyDescent="0.2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spans="1:26" x14ac:dyDescent="0.2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spans="1:26" x14ac:dyDescent="0.2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spans="1:26" x14ac:dyDescent="0.2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spans="1:26" x14ac:dyDescent="0.2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spans="1:26" x14ac:dyDescent="0.2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spans="1:26" x14ac:dyDescent="0.2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spans="1:26" x14ac:dyDescent="0.2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spans="1:26" x14ac:dyDescent="0.2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spans="1:26" x14ac:dyDescent="0.2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spans="1:26" x14ac:dyDescent="0.2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spans="1:26" x14ac:dyDescent="0.2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spans="1:26" x14ac:dyDescent="0.2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spans="1:26" x14ac:dyDescent="0.2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spans="1:26" x14ac:dyDescent="0.2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spans="1:26" x14ac:dyDescent="0.2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spans="1:26" x14ac:dyDescent="0.2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spans="1:26" x14ac:dyDescent="0.2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spans="1:26" x14ac:dyDescent="0.2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spans="1:26" x14ac:dyDescent="0.2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spans="1:26" x14ac:dyDescent="0.2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spans="1:26" x14ac:dyDescent="0.2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spans="1:26" x14ac:dyDescent="0.2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spans="1:26" x14ac:dyDescent="0.2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spans="1:26" x14ac:dyDescent="0.2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spans="1:26" x14ac:dyDescent="0.2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spans="1:26" x14ac:dyDescent="0.2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spans="1:26" x14ac:dyDescent="0.2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spans="1:26" x14ac:dyDescent="0.2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spans="1:26" x14ac:dyDescent="0.2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spans="1:26" x14ac:dyDescent="0.2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spans="1:26" x14ac:dyDescent="0.2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spans="1:26" x14ac:dyDescent="0.2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spans="1:26" x14ac:dyDescent="0.2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spans="1:26" x14ac:dyDescent="0.2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spans="1:26" x14ac:dyDescent="0.2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spans="1:26" x14ac:dyDescent="0.2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spans="1:26" x14ac:dyDescent="0.2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spans="1:26" x14ac:dyDescent="0.2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spans="1:26" x14ac:dyDescent="0.2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spans="1:26" x14ac:dyDescent="0.2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spans="1:26" x14ac:dyDescent="0.2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spans="1:26" x14ac:dyDescent="0.2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spans="1:26" x14ac:dyDescent="0.2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spans="1:26" x14ac:dyDescent="0.2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spans="1:26" x14ac:dyDescent="0.2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spans="1:26" x14ac:dyDescent="0.2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spans="1:26" x14ac:dyDescent="0.2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spans="1:26" x14ac:dyDescent="0.2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spans="1:26" x14ac:dyDescent="0.2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spans="1:26" x14ac:dyDescent="0.2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spans="1:26" x14ac:dyDescent="0.2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spans="1:26" x14ac:dyDescent="0.2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spans="1:26" x14ac:dyDescent="0.2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spans="1:26" x14ac:dyDescent="0.2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spans="1:26" x14ac:dyDescent="0.2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spans="1:26" x14ac:dyDescent="0.2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spans="1:26" x14ac:dyDescent="0.2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spans="1:26" x14ac:dyDescent="0.2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spans="1:26" x14ac:dyDescent="0.2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spans="1:26" x14ac:dyDescent="0.2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spans="1:26" x14ac:dyDescent="0.2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spans="1:26" x14ac:dyDescent="0.2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spans="1:26" x14ac:dyDescent="0.2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spans="1:26" x14ac:dyDescent="0.2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spans="1:26" x14ac:dyDescent="0.2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spans="1:26" x14ac:dyDescent="0.2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spans="1:26" x14ac:dyDescent="0.2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spans="1:26" x14ac:dyDescent="0.2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spans="1:26" x14ac:dyDescent="0.2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spans="1:26" x14ac:dyDescent="0.2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spans="1:26" x14ac:dyDescent="0.2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spans="1:26" x14ac:dyDescent="0.2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spans="1:26" x14ac:dyDescent="0.2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spans="1:26" x14ac:dyDescent="0.2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spans="1:26" x14ac:dyDescent="0.2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spans="1:26" x14ac:dyDescent="0.2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spans="1:26" x14ac:dyDescent="0.2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spans="1:26" x14ac:dyDescent="0.2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spans="1:26" x14ac:dyDescent="0.2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spans="1:26" x14ac:dyDescent="0.2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spans="1:26" x14ac:dyDescent="0.2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spans="1:26" x14ac:dyDescent="0.2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spans="1:26" x14ac:dyDescent="0.2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spans="1:26" x14ac:dyDescent="0.2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spans="1:26" x14ac:dyDescent="0.2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spans="1:26" x14ac:dyDescent="0.2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spans="1:26" x14ac:dyDescent="0.2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spans="1:26" x14ac:dyDescent="0.2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spans="1:26" x14ac:dyDescent="0.2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spans="1:26" x14ac:dyDescent="0.2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spans="1:26" x14ac:dyDescent="0.2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spans="1:26" x14ac:dyDescent="0.2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spans="1:26" x14ac:dyDescent="0.2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spans="1:26" x14ac:dyDescent="0.2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spans="1:26" x14ac:dyDescent="0.2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spans="1:26" x14ac:dyDescent="0.2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spans="1:26" x14ac:dyDescent="0.2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spans="1:26" x14ac:dyDescent="0.2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spans="1:26" x14ac:dyDescent="0.2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spans="1:26" x14ac:dyDescent="0.2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spans="1:26" x14ac:dyDescent="0.2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spans="1:26" x14ac:dyDescent="0.2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spans="1:26" x14ac:dyDescent="0.2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spans="1:26" x14ac:dyDescent="0.2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spans="1:26" x14ac:dyDescent="0.2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spans="1:26" x14ac:dyDescent="0.2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spans="1:26" x14ac:dyDescent="0.2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spans="1:26" x14ac:dyDescent="0.2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spans="1:26" x14ac:dyDescent="0.2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spans="1:26" x14ac:dyDescent="0.2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spans="1:26" x14ac:dyDescent="0.2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spans="1:26" x14ac:dyDescent="0.2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spans="1:26" x14ac:dyDescent="0.2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spans="1:26" x14ac:dyDescent="0.2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spans="1:26" x14ac:dyDescent="0.2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spans="1:26" x14ac:dyDescent="0.2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spans="1:26" x14ac:dyDescent="0.2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spans="1:26" x14ac:dyDescent="0.2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spans="1:26" x14ac:dyDescent="0.2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spans="1:26" x14ac:dyDescent="0.2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spans="1:26" x14ac:dyDescent="0.2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spans="1:26" x14ac:dyDescent="0.2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spans="1:26" x14ac:dyDescent="0.2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spans="1:26" x14ac:dyDescent="0.2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spans="1:26" x14ac:dyDescent="0.2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spans="1:26" x14ac:dyDescent="0.2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spans="1:26" x14ac:dyDescent="0.2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spans="1:26" x14ac:dyDescent="0.2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spans="1:26" x14ac:dyDescent="0.2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spans="1:26" x14ac:dyDescent="0.2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spans="1:26" x14ac:dyDescent="0.2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spans="1:26" x14ac:dyDescent="0.2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spans="1:26" x14ac:dyDescent="0.2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spans="1:26" x14ac:dyDescent="0.2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spans="1:26" x14ac:dyDescent="0.2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spans="1:26" x14ac:dyDescent="0.2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spans="1:26" x14ac:dyDescent="0.2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spans="1:26" x14ac:dyDescent="0.2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spans="1:26" x14ac:dyDescent="0.2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spans="1:26" x14ac:dyDescent="0.2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spans="1:26" x14ac:dyDescent="0.2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spans="1:26" x14ac:dyDescent="0.2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spans="1:26" x14ac:dyDescent="0.2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spans="1:26" x14ac:dyDescent="0.2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spans="1:26" x14ac:dyDescent="0.2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spans="1:26" x14ac:dyDescent="0.2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spans="1:26" x14ac:dyDescent="0.2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spans="1:26" x14ac:dyDescent="0.2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 spans="1:26" x14ac:dyDescent="0.2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 spans="1:26" x14ac:dyDescent="0.2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 spans="1:26" x14ac:dyDescent="0.2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 spans="1:26" x14ac:dyDescent="0.2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 spans="1:26" x14ac:dyDescent="0.2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 spans="1:26" x14ac:dyDescent="0.2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 spans="1:26" x14ac:dyDescent="0.2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 spans="1:26" x14ac:dyDescent="0.2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 spans="1:26" x14ac:dyDescent="0.2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 spans="1:26" x14ac:dyDescent="0.2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 spans="1:26" x14ac:dyDescent="0.2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 spans="1:26" x14ac:dyDescent="0.2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 spans="1:26" x14ac:dyDescent="0.2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 spans="1:26" x14ac:dyDescent="0.2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 spans="1:26" x14ac:dyDescent="0.2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 spans="1:26" x14ac:dyDescent="0.2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 spans="1:26" x14ac:dyDescent="0.2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 spans="1:26" x14ac:dyDescent="0.2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 spans="1:26" x14ac:dyDescent="0.2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 spans="1:26" x14ac:dyDescent="0.2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 spans="1:26" x14ac:dyDescent="0.2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 spans="1:26" x14ac:dyDescent="0.2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 spans="1:26" x14ac:dyDescent="0.2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 spans="1:26" x14ac:dyDescent="0.2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 spans="1:26" x14ac:dyDescent="0.2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 spans="1:26" x14ac:dyDescent="0.2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 spans="1:26" x14ac:dyDescent="0.2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 spans="1:26" x14ac:dyDescent="0.2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 spans="1:26" x14ac:dyDescent="0.2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 spans="1:26" x14ac:dyDescent="0.2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 spans="1:26" x14ac:dyDescent="0.2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 spans="1:26" x14ac:dyDescent="0.2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 spans="1:26" x14ac:dyDescent="0.2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 spans="1:26" x14ac:dyDescent="0.2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 spans="1:26" x14ac:dyDescent="0.2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 spans="1:26" x14ac:dyDescent="0.2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 spans="1:26" x14ac:dyDescent="0.2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 spans="1:26" x14ac:dyDescent="0.2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 spans="1:26" x14ac:dyDescent="0.2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 spans="1:26" x14ac:dyDescent="0.2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 spans="1:26" x14ac:dyDescent="0.2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 spans="1:26" x14ac:dyDescent="0.2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 spans="1:26" x14ac:dyDescent="0.2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 spans="1:26" x14ac:dyDescent="0.2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 spans="1:26" x14ac:dyDescent="0.2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 spans="1:26" x14ac:dyDescent="0.2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 spans="1:26" x14ac:dyDescent="0.2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 spans="1:26" x14ac:dyDescent="0.2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 spans="1:26" x14ac:dyDescent="0.2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 spans="1:26" x14ac:dyDescent="0.2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 spans="1:26" x14ac:dyDescent="0.2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 spans="1:26" x14ac:dyDescent="0.2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 spans="1:26" x14ac:dyDescent="0.2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spans="1:26" x14ac:dyDescent="0.2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 spans="1:26" x14ac:dyDescent="0.2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 spans="1:26" x14ac:dyDescent="0.2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 spans="1:26" x14ac:dyDescent="0.2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 spans="1:26" x14ac:dyDescent="0.2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 spans="1:26" x14ac:dyDescent="0.2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 spans="1:26" x14ac:dyDescent="0.2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 spans="1:26" x14ac:dyDescent="0.2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spans="1:26" x14ac:dyDescent="0.2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 spans="1:26" x14ac:dyDescent="0.2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 spans="1:26" x14ac:dyDescent="0.2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 spans="1:26" x14ac:dyDescent="0.2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 spans="1:26" x14ac:dyDescent="0.2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 spans="1:26" x14ac:dyDescent="0.2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 spans="1:26" x14ac:dyDescent="0.2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 spans="1:26" x14ac:dyDescent="0.2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 spans="1:26" x14ac:dyDescent="0.2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 spans="1:26" x14ac:dyDescent="0.2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 spans="1:26" x14ac:dyDescent="0.2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 spans="1:26" x14ac:dyDescent="0.2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 spans="1:26" x14ac:dyDescent="0.2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 spans="1:26" x14ac:dyDescent="0.2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 spans="1:26" x14ac:dyDescent="0.2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 spans="1:26" x14ac:dyDescent="0.2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 spans="1:26" x14ac:dyDescent="0.2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 spans="1:26" x14ac:dyDescent="0.2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 spans="1:26" x14ac:dyDescent="0.2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spans="1:26" x14ac:dyDescent="0.2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 spans="1:26" x14ac:dyDescent="0.2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 spans="1:26" x14ac:dyDescent="0.2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spans="1:26" x14ac:dyDescent="0.2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spans="1:26" x14ac:dyDescent="0.2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 spans="1:26" x14ac:dyDescent="0.2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 spans="1:26" x14ac:dyDescent="0.2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 spans="1:26" x14ac:dyDescent="0.2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spans="1:26" x14ac:dyDescent="0.2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 spans="1:26" x14ac:dyDescent="0.2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 spans="1:26" x14ac:dyDescent="0.2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 spans="1:26" x14ac:dyDescent="0.2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 spans="1:26" x14ac:dyDescent="0.2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 spans="1:26" x14ac:dyDescent="0.2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 spans="1:26" x14ac:dyDescent="0.2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 spans="1:26" x14ac:dyDescent="0.2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 spans="1:26" x14ac:dyDescent="0.2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 spans="1:26" x14ac:dyDescent="0.2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 spans="1:26" x14ac:dyDescent="0.2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 spans="1:26" x14ac:dyDescent="0.2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 spans="1:26" x14ac:dyDescent="0.2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 spans="1:26" x14ac:dyDescent="0.2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 spans="1:26" x14ac:dyDescent="0.2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 spans="1:26" x14ac:dyDescent="0.2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 spans="1:26" x14ac:dyDescent="0.2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 spans="1:26" x14ac:dyDescent="0.2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 spans="1:26" x14ac:dyDescent="0.2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spans="1:26" x14ac:dyDescent="0.2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 spans="1:26" x14ac:dyDescent="0.2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 spans="1:26" x14ac:dyDescent="0.2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 spans="1:26" x14ac:dyDescent="0.2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 spans="1:26" x14ac:dyDescent="0.2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 spans="1:26" x14ac:dyDescent="0.2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 spans="1:26" x14ac:dyDescent="0.2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 spans="1:26" x14ac:dyDescent="0.2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 spans="1:26" x14ac:dyDescent="0.2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 spans="1:26" x14ac:dyDescent="0.2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 spans="1:26" x14ac:dyDescent="0.2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 spans="1:26" x14ac:dyDescent="0.2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spans="1:26" x14ac:dyDescent="0.2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 spans="1:26" x14ac:dyDescent="0.2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 spans="1:26" x14ac:dyDescent="0.2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 spans="1:26" x14ac:dyDescent="0.2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 spans="1:26" x14ac:dyDescent="0.2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 spans="1:26" x14ac:dyDescent="0.2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 spans="1:26" x14ac:dyDescent="0.2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 spans="1:26" x14ac:dyDescent="0.2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 spans="1:26" x14ac:dyDescent="0.2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 spans="1:26" x14ac:dyDescent="0.2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 spans="1:26" x14ac:dyDescent="0.2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 spans="1:26" x14ac:dyDescent="0.2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 spans="1:26" x14ac:dyDescent="0.2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 spans="1:26" x14ac:dyDescent="0.2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 spans="1:26" x14ac:dyDescent="0.2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 spans="1:26" x14ac:dyDescent="0.2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 spans="1:26" x14ac:dyDescent="0.2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spans="1:26" x14ac:dyDescent="0.2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 spans="1:26" x14ac:dyDescent="0.2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 spans="1:26" x14ac:dyDescent="0.2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 spans="1:26" x14ac:dyDescent="0.2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spans="1:26" x14ac:dyDescent="0.2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 spans="1:26" x14ac:dyDescent="0.2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spans="1:26" x14ac:dyDescent="0.2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spans="1:26" x14ac:dyDescent="0.2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spans="1:26" x14ac:dyDescent="0.2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spans="1:26" x14ac:dyDescent="0.2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spans="1:26" x14ac:dyDescent="0.2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spans="1:26" x14ac:dyDescent="0.2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spans="1:26" x14ac:dyDescent="0.2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spans="1:26" x14ac:dyDescent="0.2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spans="1:26" x14ac:dyDescent="0.2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spans="1:26" x14ac:dyDescent="0.2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spans="1:26" x14ac:dyDescent="0.2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spans="1:26" x14ac:dyDescent="0.2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spans="1:26" x14ac:dyDescent="0.2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spans="1:26" x14ac:dyDescent="0.2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spans="1:26" x14ac:dyDescent="0.2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spans="1:26" x14ac:dyDescent="0.2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spans="1:26" x14ac:dyDescent="0.2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spans="1:26" x14ac:dyDescent="0.2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spans="1:26" x14ac:dyDescent="0.2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spans="1:26" x14ac:dyDescent="0.2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spans="1:26" x14ac:dyDescent="0.2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spans="1:26" x14ac:dyDescent="0.2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spans="1:26" x14ac:dyDescent="0.2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spans="1:26" x14ac:dyDescent="0.2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spans="1:26" x14ac:dyDescent="0.2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spans="1:26" x14ac:dyDescent="0.2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spans="1:26" x14ac:dyDescent="0.2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spans="1:26" x14ac:dyDescent="0.2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spans="1:26" x14ac:dyDescent="0.2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spans="1:26" x14ac:dyDescent="0.2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spans="1:26" x14ac:dyDescent="0.2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spans="1:26" x14ac:dyDescent="0.2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spans="1:26" x14ac:dyDescent="0.2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spans="1:26" x14ac:dyDescent="0.2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spans="1:26" x14ac:dyDescent="0.2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spans="1:26" x14ac:dyDescent="0.2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spans="1:26" x14ac:dyDescent="0.2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spans="1:26" x14ac:dyDescent="0.2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spans="1:26" x14ac:dyDescent="0.2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spans="1:26" x14ac:dyDescent="0.2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spans="1:26" x14ac:dyDescent="0.2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spans="1:26" x14ac:dyDescent="0.2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spans="1:26" x14ac:dyDescent="0.2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spans="1:26" x14ac:dyDescent="0.2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spans="1:26" x14ac:dyDescent="0.2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spans="1:26" x14ac:dyDescent="0.2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spans="1:26" x14ac:dyDescent="0.2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spans="1:26" x14ac:dyDescent="0.2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spans="1:26" x14ac:dyDescent="0.2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spans="1:26" x14ac:dyDescent="0.2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spans="1:26" x14ac:dyDescent="0.2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spans="1:26" x14ac:dyDescent="0.2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spans="1:26" x14ac:dyDescent="0.2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spans="1:26" x14ac:dyDescent="0.2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spans="1:26" x14ac:dyDescent="0.2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spans="1:26" x14ac:dyDescent="0.2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spans="1:26" x14ac:dyDescent="0.2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spans="1:26" x14ac:dyDescent="0.2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spans="1:26" x14ac:dyDescent="0.2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spans="1:26" x14ac:dyDescent="0.2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spans="1:26" x14ac:dyDescent="0.2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spans="1:26" x14ac:dyDescent="0.2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spans="1:26" x14ac:dyDescent="0.2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spans="1:26" x14ac:dyDescent="0.2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spans="1:26" x14ac:dyDescent="0.2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spans="1:26" x14ac:dyDescent="0.2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spans="1:26" x14ac:dyDescent="0.2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spans="1:26" x14ac:dyDescent="0.2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spans="1:26" x14ac:dyDescent="0.2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spans="1:26" x14ac:dyDescent="0.2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spans="1:26" x14ac:dyDescent="0.2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spans="1:26" x14ac:dyDescent="0.2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spans="1:26" x14ac:dyDescent="0.2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spans="1:26" x14ac:dyDescent="0.2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spans="1:26" x14ac:dyDescent="0.2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spans="1:26" x14ac:dyDescent="0.2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spans="1:26" x14ac:dyDescent="0.2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spans="1:26" x14ac:dyDescent="0.2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spans="1:26" x14ac:dyDescent="0.2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spans="1:26" x14ac:dyDescent="0.2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spans="1:26" x14ac:dyDescent="0.2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spans="1:26" x14ac:dyDescent="0.2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spans="1:26" x14ac:dyDescent="0.2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spans="1:26" x14ac:dyDescent="0.2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spans="1:26" x14ac:dyDescent="0.2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spans="1:26" x14ac:dyDescent="0.2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spans="1:26" x14ac:dyDescent="0.2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spans="1:26" x14ac:dyDescent="0.2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spans="1:26" x14ac:dyDescent="0.2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spans="1:26" x14ac:dyDescent="0.2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spans="1:26" x14ac:dyDescent="0.2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spans="1:26" x14ac:dyDescent="0.2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spans="1:26" x14ac:dyDescent="0.2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spans="1:26" x14ac:dyDescent="0.2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spans="1:26" x14ac:dyDescent="0.2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spans="1:26" x14ac:dyDescent="0.2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spans="1:26" x14ac:dyDescent="0.2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spans="1:26" x14ac:dyDescent="0.2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spans="1:26" x14ac:dyDescent="0.2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spans="1:26" x14ac:dyDescent="0.2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spans="1:26" x14ac:dyDescent="0.2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spans="1:26" x14ac:dyDescent="0.2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spans="1:26" x14ac:dyDescent="0.2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spans="1:26" x14ac:dyDescent="0.2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spans="1:26" x14ac:dyDescent="0.2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spans="1:26" x14ac:dyDescent="0.2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spans="1:26" x14ac:dyDescent="0.2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spans="1:26" x14ac:dyDescent="0.2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spans="1:26" x14ac:dyDescent="0.2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spans="1:26" x14ac:dyDescent="0.2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spans="1:26" x14ac:dyDescent="0.2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spans="1:26" x14ac:dyDescent="0.2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spans="1:26" x14ac:dyDescent="0.2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spans="1:26" x14ac:dyDescent="0.2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spans="1:26" x14ac:dyDescent="0.2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spans="1:26" x14ac:dyDescent="0.2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spans="1:26" x14ac:dyDescent="0.2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spans="1:26" x14ac:dyDescent="0.2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spans="1:26" x14ac:dyDescent="0.2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spans="1:26" x14ac:dyDescent="0.2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spans="1:26" x14ac:dyDescent="0.2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spans="1:26" x14ac:dyDescent="0.2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spans="1:26" x14ac:dyDescent="0.2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spans="1:26" x14ac:dyDescent="0.2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spans="1:26" x14ac:dyDescent="0.2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spans="1:26" x14ac:dyDescent="0.2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spans="1:26" x14ac:dyDescent="0.2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spans="1:26" x14ac:dyDescent="0.2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spans="1:26" x14ac:dyDescent="0.2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spans="1:26" x14ac:dyDescent="0.2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spans="1:26" x14ac:dyDescent="0.2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spans="1:26" x14ac:dyDescent="0.2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spans="1:26" x14ac:dyDescent="0.2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spans="1:26" x14ac:dyDescent="0.2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spans="1:26" x14ac:dyDescent="0.2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spans="1:26" x14ac:dyDescent="0.2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spans="1:26" x14ac:dyDescent="0.2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spans="1:26" x14ac:dyDescent="0.2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spans="1:26" x14ac:dyDescent="0.2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spans="1:26" x14ac:dyDescent="0.2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spans="1:26" x14ac:dyDescent="0.2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spans="1:26" x14ac:dyDescent="0.2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spans="1:26" x14ac:dyDescent="0.2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spans="1:26" x14ac:dyDescent="0.2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spans="1:26" x14ac:dyDescent="0.2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spans="1:26" x14ac:dyDescent="0.2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spans="1:26" x14ac:dyDescent="0.2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spans="1:26" x14ac:dyDescent="0.2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spans="1:26" x14ac:dyDescent="0.2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spans="1:26" x14ac:dyDescent="0.2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spans="1:26" x14ac:dyDescent="0.2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spans="1:26" x14ac:dyDescent="0.2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spans="1:26" x14ac:dyDescent="0.2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spans="1:26" x14ac:dyDescent="0.2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spans="1:26" x14ac:dyDescent="0.2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spans="1:26" x14ac:dyDescent="0.2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spans="1:26" x14ac:dyDescent="0.2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spans="1:26" x14ac:dyDescent="0.2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spans="1:26" x14ac:dyDescent="0.2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spans="1:26" x14ac:dyDescent="0.2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spans="1:26" x14ac:dyDescent="0.2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spans="1:26" x14ac:dyDescent="0.2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spans="1:26" x14ac:dyDescent="0.2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spans="1:26" x14ac:dyDescent="0.2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spans="1:26" x14ac:dyDescent="0.2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spans="1:26" x14ac:dyDescent="0.2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spans="1:26" x14ac:dyDescent="0.2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spans="1:26" x14ac:dyDescent="0.2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spans="1:26" x14ac:dyDescent="0.2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spans="1:26" x14ac:dyDescent="0.2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spans="1:26" x14ac:dyDescent="0.2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spans="1:26" x14ac:dyDescent="0.2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spans="1:26" x14ac:dyDescent="0.2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spans="1:26" x14ac:dyDescent="0.2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spans="1:26" x14ac:dyDescent="0.2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spans="1:26" x14ac:dyDescent="0.2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spans="1:26" x14ac:dyDescent="0.2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spans="1:26" x14ac:dyDescent="0.2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spans="1:26" x14ac:dyDescent="0.2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spans="1:26" x14ac:dyDescent="0.2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spans="1:26" x14ac:dyDescent="0.2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spans="1:26" x14ac:dyDescent="0.2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spans="1:26" x14ac:dyDescent="0.2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spans="1:26" x14ac:dyDescent="0.2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spans="1:26" x14ac:dyDescent="0.2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spans="1:26" x14ac:dyDescent="0.2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spans="1:26" x14ac:dyDescent="0.2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spans="1:26" x14ac:dyDescent="0.2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spans="1:26" x14ac:dyDescent="0.2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spans="1:26" x14ac:dyDescent="0.2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spans="1:26" x14ac:dyDescent="0.2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spans="1:26" x14ac:dyDescent="0.2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spans="1:26" x14ac:dyDescent="0.2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spans="1:26" x14ac:dyDescent="0.2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spans="1:26" x14ac:dyDescent="0.2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spans="1:26" x14ac:dyDescent="0.2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spans="1:26" x14ac:dyDescent="0.2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spans="1:26" x14ac:dyDescent="0.2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spans="1:26" x14ac:dyDescent="0.2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spans="1:26" x14ac:dyDescent="0.2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spans="1:26" x14ac:dyDescent="0.2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spans="1:26" x14ac:dyDescent="0.2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spans="1:26" x14ac:dyDescent="0.2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spans="1:26" x14ac:dyDescent="0.2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spans="1:26" x14ac:dyDescent="0.2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spans="1:26" x14ac:dyDescent="0.2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spans="1:26" x14ac:dyDescent="0.2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spans="1:26" x14ac:dyDescent="0.2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spans="1:26" x14ac:dyDescent="0.2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spans="1:26" x14ac:dyDescent="0.2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spans="1:26" x14ac:dyDescent="0.2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spans="1:26" x14ac:dyDescent="0.2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spans="1:26" x14ac:dyDescent="0.2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spans="1:26" x14ac:dyDescent="0.2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spans="1:26" x14ac:dyDescent="0.2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spans="1:26" x14ac:dyDescent="0.2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spans="1:26" x14ac:dyDescent="0.2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spans="1:26" x14ac:dyDescent="0.2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spans="1:26" x14ac:dyDescent="0.2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spans="1:26" x14ac:dyDescent="0.2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spans="1:26" x14ac:dyDescent="0.2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spans="1:26" x14ac:dyDescent="0.2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spans="1:26" x14ac:dyDescent="0.2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spans="1:26" x14ac:dyDescent="0.2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spans="1:26" x14ac:dyDescent="0.2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spans="1:26" x14ac:dyDescent="0.2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spans="1:26" x14ac:dyDescent="0.2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spans="1:26" x14ac:dyDescent="0.2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spans="1:26" x14ac:dyDescent="0.2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spans="1:26" x14ac:dyDescent="0.2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spans="1:26" x14ac:dyDescent="0.2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spans="1:26" x14ac:dyDescent="0.2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spans="1:26" x14ac:dyDescent="0.2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spans="1:26" x14ac:dyDescent="0.2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spans="1:26" x14ac:dyDescent="0.2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spans="1:26" x14ac:dyDescent="0.2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spans="1:26" x14ac:dyDescent="0.2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spans="1:26" x14ac:dyDescent="0.2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spans="1:26" x14ac:dyDescent="0.2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spans="1:26" x14ac:dyDescent="0.2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spans="1:26" x14ac:dyDescent="0.2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spans="1:26" x14ac:dyDescent="0.2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spans="1:26" x14ac:dyDescent="0.2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spans="1:26" x14ac:dyDescent="0.2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spans="1:26" x14ac:dyDescent="0.2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spans="1:26" x14ac:dyDescent="0.2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spans="1:26" x14ac:dyDescent="0.2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spans="1:26" x14ac:dyDescent="0.2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spans="1:26" x14ac:dyDescent="0.2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spans="1:26" x14ac:dyDescent="0.2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spans="1:26" x14ac:dyDescent="0.2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spans="1:26" x14ac:dyDescent="0.2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spans="1:26" x14ac:dyDescent="0.2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spans="1:26" x14ac:dyDescent="0.2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spans="1:26" x14ac:dyDescent="0.2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spans="1:26" x14ac:dyDescent="0.2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spans="1:26" x14ac:dyDescent="0.2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spans="1:26" x14ac:dyDescent="0.2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spans="1:26" x14ac:dyDescent="0.2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spans="1:26" x14ac:dyDescent="0.2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spans="1:26" x14ac:dyDescent="0.2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spans="1:26" x14ac:dyDescent="0.2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spans="1:26" x14ac:dyDescent="0.2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spans="1:26" x14ac:dyDescent="0.2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spans="1:26" x14ac:dyDescent="0.2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spans="1:26" x14ac:dyDescent="0.2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spans="1:26" x14ac:dyDescent="0.2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spans="1:26" x14ac:dyDescent="0.2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spans="1:26" x14ac:dyDescent="0.2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spans="1:26" x14ac:dyDescent="0.2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spans="1:26" x14ac:dyDescent="0.2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spans="1:26" x14ac:dyDescent="0.2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spans="1:26" x14ac:dyDescent="0.2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spans="1:26" x14ac:dyDescent="0.2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spans="1:26" x14ac:dyDescent="0.2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spans="1:26" x14ac:dyDescent="0.2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spans="1:26" x14ac:dyDescent="0.2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spans="1:26" x14ac:dyDescent="0.2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spans="1:26" x14ac:dyDescent="0.2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spans="1:26" x14ac:dyDescent="0.2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spans="1:26" x14ac:dyDescent="0.2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spans="1:26" x14ac:dyDescent="0.2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spans="1:26" x14ac:dyDescent="0.2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spans="1:26" x14ac:dyDescent="0.2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spans="1:26" x14ac:dyDescent="0.2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spans="1:26" x14ac:dyDescent="0.2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spans="1:26" x14ac:dyDescent="0.2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spans="1:26" x14ac:dyDescent="0.2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spans="1:26" x14ac:dyDescent="0.2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spans="1:26" x14ac:dyDescent="0.2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spans="1:26" x14ac:dyDescent="0.2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spans="1:26" x14ac:dyDescent="0.2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spans="1:26" x14ac:dyDescent="0.2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spans="1:26" x14ac:dyDescent="0.2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spans="1:26" x14ac:dyDescent="0.2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spans="1:26" x14ac:dyDescent="0.2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spans="1:26" x14ac:dyDescent="0.2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spans="1:26" x14ac:dyDescent="0.2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spans="1:26" x14ac:dyDescent="0.2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spans="1:26" x14ac:dyDescent="0.2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spans="1:26" x14ac:dyDescent="0.2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spans="1:26" x14ac:dyDescent="0.2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spans="1:26" x14ac:dyDescent="0.2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spans="1:26" x14ac:dyDescent="0.2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spans="1:26" x14ac:dyDescent="0.2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spans="1:26" x14ac:dyDescent="0.2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spans="1:26" x14ac:dyDescent="0.2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spans="1:26" x14ac:dyDescent="0.2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spans="1:26" x14ac:dyDescent="0.2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spans="1:26" x14ac:dyDescent="0.2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spans="1:26" x14ac:dyDescent="0.2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spans="1:26" x14ac:dyDescent="0.2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spans="1:26" x14ac:dyDescent="0.2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spans="1:26" x14ac:dyDescent="0.2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spans="1:26" x14ac:dyDescent="0.2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spans="1:26" x14ac:dyDescent="0.2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spans="1:26" x14ac:dyDescent="0.2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spans="1:26" x14ac:dyDescent="0.2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spans="1:26" x14ac:dyDescent="0.2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spans="1:26" x14ac:dyDescent="0.2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spans="1:26" x14ac:dyDescent="0.2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spans="1:26" x14ac:dyDescent="0.2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spans="1:26" x14ac:dyDescent="0.2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spans="1:26" x14ac:dyDescent="0.2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spans="1:26" x14ac:dyDescent="0.2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spans="1:26" x14ac:dyDescent="0.2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spans="1:26" x14ac:dyDescent="0.2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spans="1:26" x14ac:dyDescent="0.2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spans="1:26" x14ac:dyDescent="0.2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spans="1:26" x14ac:dyDescent="0.2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spans="1:26" x14ac:dyDescent="0.2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spans="1:26" x14ac:dyDescent="0.2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spans="1:26" x14ac:dyDescent="0.2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spans="1:26" x14ac:dyDescent="0.2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spans="1:26" x14ac:dyDescent="0.2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spans="1:26" x14ac:dyDescent="0.2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spans="1:26" x14ac:dyDescent="0.2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spans="1:26" x14ac:dyDescent="0.2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spans="1:26" x14ac:dyDescent="0.2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spans="1:26" x14ac:dyDescent="0.2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spans="1:26" x14ac:dyDescent="0.2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spans="1:26" x14ac:dyDescent="0.2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spans="1:26" x14ac:dyDescent="0.2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spans="1:26" x14ac:dyDescent="0.2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spans="1:26" x14ac:dyDescent="0.2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spans="1:26" x14ac:dyDescent="0.2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spans="1:26" x14ac:dyDescent="0.2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spans="1:26" x14ac:dyDescent="0.2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spans="1:26" x14ac:dyDescent="0.2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spans="1:26" x14ac:dyDescent="0.2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spans="1:26" x14ac:dyDescent="0.2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spans="1:26" x14ac:dyDescent="0.2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spans="1:26" x14ac:dyDescent="0.2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spans="1:26" x14ac:dyDescent="0.2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spans="1:26" x14ac:dyDescent="0.2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spans="1:26" x14ac:dyDescent="0.2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spans="1:26" x14ac:dyDescent="0.2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spans="1:26" x14ac:dyDescent="0.2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spans="1:26" x14ac:dyDescent="0.2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spans="1:26" x14ac:dyDescent="0.2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spans="1:26" x14ac:dyDescent="0.2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spans="1:26" x14ac:dyDescent="0.2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spans="1:26" x14ac:dyDescent="0.2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spans="1:26" x14ac:dyDescent="0.2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spans="1:26" x14ac:dyDescent="0.2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spans="1:26" x14ac:dyDescent="0.2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spans="1:26" x14ac:dyDescent="0.2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spans="1:26" x14ac:dyDescent="0.2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spans="1:26" x14ac:dyDescent="0.2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spans="1:26" x14ac:dyDescent="0.2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spans="1:26" x14ac:dyDescent="0.2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spans="1:26" x14ac:dyDescent="0.2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spans="1:26" x14ac:dyDescent="0.2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spans="1:26" x14ac:dyDescent="0.2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spans="1:26" x14ac:dyDescent="0.2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spans="1:26" x14ac:dyDescent="0.2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spans="1:26" x14ac:dyDescent="0.2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spans="1:26" x14ac:dyDescent="0.2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spans="1:26" x14ac:dyDescent="0.2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spans="1:26" x14ac:dyDescent="0.2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spans="1:26" x14ac:dyDescent="0.2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spans="1:26" x14ac:dyDescent="0.2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spans="1:26" x14ac:dyDescent="0.2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spans="1:26" x14ac:dyDescent="0.2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spans="1:26" x14ac:dyDescent="0.2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spans="1:26" x14ac:dyDescent="0.2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spans="1:26" x14ac:dyDescent="0.2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spans="1:26" x14ac:dyDescent="0.2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spans="1:26" x14ac:dyDescent="0.2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spans="1:26" x14ac:dyDescent="0.2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spans="1:26" x14ac:dyDescent="0.2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spans="1:26" x14ac:dyDescent="0.2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spans="1:26" x14ac:dyDescent="0.2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spans="1:26" x14ac:dyDescent="0.2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spans="1:26" x14ac:dyDescent="0.2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spans="1:26" x14ac:dyDescent="0.2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spans="1:26" x14ac:dyDescent="0.2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spans="1:26" x14ac:dyDescent="0.2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spans="1:26" x14ac:dyDescent="0.2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spans="1:26" x14ac:dyDescent="0.2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spans="1:26" x14ac:dyDescent="0.2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spans="1:26" x14ac:dyDescent="0.2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spans="1:26" x14ac:dyDescent="0.2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spans="1:26" x14ac:dyDescent="0.2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spans="1:26" x14ac:dyDescent="0.2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spans="1:26" x14ac:dyDescent="0.2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spans="1:26" x14ac:dyDescent="0.2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spans="1:26" x14ac:dyDescent="0.2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spans="1:26" x14ac:dyDescent="0.2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spans="1:26" x14ac:dyDescent="0.2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spans="1:26" x14ac:dyDescent="0.2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spans="1:26" x14ac:dyDescent="0.2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spans="1:26" x14ac:dyDescent="0.2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spans="1:26" x14ac:dyDescent="0.2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spans="1:26" x14ac:dyDescent="0.2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spans="1:26" x14ac:dyDescent="0.2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 spans="1:26" x14ac:dyDescent="0.2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 spans="1:26" x14ac:dyDescent="0.2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 spans="1:26" x14ac:dyDescent="0.2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 spans="1:26" x14ac:dyDescent="0.2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 spans="1:26" x14ac:dyDescent="0.2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 spans="1:26" x14ac:dyDescent="0.2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 spans="1:26" x14ac:dyDescent="0.2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 spans="1:26" x14ac:dyDescent="0.2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 spans="1:26" x14ac:dyDescent="0.2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 spans="1:26" x14ac:dyDescent="0.2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 spans="1:26" x14ac:dyDescent="0.2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 spans="1:26" x14ac:dyDescent="0.2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 spans="1:26" x14ac:dyDescent="0.2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 spans="1:26" x14ac:dyDescent="0.2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 spans="1:26" x14ac:dyDescent="0.2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 spans="1:26" x14ac:dyDescent="0.2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 spans="1:26" x14ac:dyDescent="0.2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 spans="1:26" x14ac:dyDescent="0.2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 spans="1:26" x14ac:dyDescent="0.2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 spans="1:26" x14ac:dyDescent="0.2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 spans="1:26" x14ac:dyDescent="0.2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 spans="1:26" x14ac:dyDescent="0.2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 spans="1:26" x14ac:dyDescent="0.2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 spans="1:26" x14ac:dyDescent="0.2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 spans="1:26" x14ac:dyDescent="0.2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 spans="1:26" x14ac:dyDescent="0.2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 spans="1:26" x14ac:dyDescent="0.2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 spans="1:26" x14ac:dyDescent="0.2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 spans="1:26" x14ac:dyDescent="0.2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 spans="1:26" x14ac:dyDescent="0.2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 spans="1:26" x14ac:dyDescent="0.2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 spans="1:26" x14ac:dyDescent="0.2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 spans="1:26" x14ac:dyDescent="0.2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 spans="1:26" x14ac:dyDescent="0.2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 spans="1:26" x14ac:dyDescent="0.2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 spans="1:26" x14ac:dyDescent="0.2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 spans="1:26" x14ac:dyDescent="0.2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 spans="1:26" x14ac:dyDescent="0.2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 spans="1:26" x14ac:dyDescent="0.2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 spans="1:26" x14ac:dyDescent="0.2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 spans="1:26" x14ac:dyDescent="0.2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 spans="1:26" x14ac:dyDescent="0.2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 spans="1:26" x14ac:dyDescent="0.2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 spans="1:26" x14ac:dyDescent="0.2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 spans="1:26" x14ac:dyDescent="0.2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 spans="1:26" x14ac:dyDescent="0.2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 spans="1:26" x14ac:dyDescent="0.2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 spans="1:26" x14ac:dyDescent="0.2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 spans="1:26" x14ac:dyDescent="0.2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 spans="1:26" x14ac:dyDescent="0.2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 spans="1:26" x14ac:dyDescent="0.2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 spans="1:26" x14ac:dyDescent="0.2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 spans="1:26" x14ac:dyDescent="0.2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 spans="1:26" x14ac:dyDescent="0.2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 spans="1:26" x14ac:dyDescent="0.2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 spans="1:26" x14ac:dyDescent="0.2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 spans="1:26" x14ac:dyDescent="0.2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 spans="1:26" x14ac:dyDescent="0.2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 spans="1:26" x14ac:dyDescent="0.2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 spans="1:26" x14ac:dyDescent="0.2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 spans="1:26" x14ac:dyDescent="0.2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 spans="1:26" x14ac:dyDescent="0.2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 spans="1:26" x14ac:dyDescent="0.2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 spans="1:26" x14ac:dyDescent="0.2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 spans="1:26" x14ac:dyDescent="0.2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 spans="1:26" x14ac:dyDescent="0.2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 spans="1:26" x14ac:dyDescent="0.2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 spans="1:26" x14ac:dyDescent="0.2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 spans="1:26" x14ac:dyDescent="0.2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 spans="1:26" x14ac:dyDescent="0.2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 spans="1:26" x14ac:dyDescent="0.2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 spans="1:26" x14ac:dyDescent="0.2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 spans="1:26" x14ac:dyDescent="0.2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 spans="1:26" x14ac:dyDescent="0.2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 spans="1:26" x14ac:dyDescent="0.2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 spans="1:26" x14ac:dyDescent="0.2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 spans="1:26" x14ac:dyDescent="0.2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 spans="1:26" x14ac:dyDescent="0.2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 spans="1:26" x14ac:dyDescent="0.2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 spans="1:26" x14ac:dyDescent="0.2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 spans="1:26" x14ac:dyDescent="0.2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 spans="1:26" x14ac:dyDescent="0.2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 spans="1:26" x14ac:dyDescent="0.2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 spans="1:26" x14ac:dyDescent="0.2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 spans="1:26" x14ac:dyDescent="0.2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 spans="1:26" x14ac:dyDescent="0.2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 spans="1:26" x14ac:dyDescent="0.2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 spans="1:26" x14ac:dyDescent="0.2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 spans="1:26" x14ac:dyDescent="0.2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 spans="1:26" x14ac:dyDescent="0.2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 spans="1:26" x14ac:dyDescent="0.2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 spans="1:26" x14ac:dyDescent="0.2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 spans="1:26" x14ac:dyDescent="0.2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 spans="1:26" x14ac:dyDescent="0.2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 spans="1:26" x14ac:dyDescent="0.2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 spans="1:26" x14ac:dyDescent="0.2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 spans="1:26" x14ac:dyDescent="0.2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 spans="1:26" x14ac:dyDescent="0.2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 spans="1:26" x14ac:dyDescent="0.2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 spans="1:26" x14ac:dyDescent="0.2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 spans="1:26" x14ac:dyDescent="0.2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 spans="1:26" x14ac:dyDescent="0.2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 spans="1:26" x14ac:dyDescent="0.2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 spans="1:26" x14ac:dyDescent="0.2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 spans="1:26" x14ac:dyDescent="0.2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 spans="1:26" x14ac:dyDescent="0.2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 spans="1:26" x14ac:dyDescent="0.2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 spans="1:26" x14ac:dyDescent="0.2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 spans="1:26" x14ac:dyDescent="0.2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 spans="1:26" x14ac:dyDescent="0.2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 spans="1:26" x14ac:dyDescent="0.2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 spans="1:26" x14ac:dyDescent="0.2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 spans="1:26" x14ac:dyDescent="0.2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 spans="1:26" x14ac:dyDescent="0.2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 spans="1:26" x14ac:dyDescent="0.2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 spans="1:26" x14ac:dyDescent="0.2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 spans="1:26" x14ac:dyDescent="0.2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 spans="1:26" x14ac:dyDescent="0.2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 spans="1:26" x14ac:dyDescent="0.2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 spans="1:26" x14ac:dyDescent="0.2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 spans="1:26" x14ac:dyDescent="0.2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 spans="1:26" x14ac:dyDescent="0.2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 spans="1:26" x14ac:dyDescent="0.2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 spans="1:26" x14ac:dyDescent="0.2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 spans="1:26" x14ac:dyDescent="0.2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 spans="1:26" x14ac:dyDescent="0.2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 spans="1:26" x14ac:dyDescent="0.2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 spans="1:26" x14ac:dyDescent="0.2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 spans="1:26" x14ac:dyDescent="0.2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 spans="1:26" x14ac:dyDescent="0.2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 spans="1:26" x14ac:dyDescent="0.2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 spans="1:26" x14ac:dyDescent="0.2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 spans="1:26" x14ac:dyDescent="0.2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 spans="1:26" x14ac:dyDescent="0.2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 spans="1:26" x14ac:dyDescent="0.2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 spans="1:26" x14ac:dyDescent="0.2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 spans="1:26" x14ac:dyDescent="0.2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 spans="1:26" x14ac:dyDescent="0.2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 spans="1:26" x14ac:dyDescent="0.2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 spans="1:26" x14ac:dyDescent="0.2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 spans="1:26" x14ac:dyDescent="0.2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 spans="1:26" x14ac:dyDescent="0.2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 spans="1:26" x14ac:dyDescent="0.2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 spans="1:26" x14ac:dyDescent="0.2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 spans="1:26" x14ac:dyDescent="0.2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 spans="1:26" x14ac:dyDescent="0.2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 spans="1:26" x14ac:dyDescent="0.2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 spans="1:26" x14ac:dyDescent="0.2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 spans="1:26" x14ac:dyDescent="0.2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 spans="1:26" x14ac:dyDescent="0.2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 spans="1:26" x14ac:dyDescent="0.2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 spans="1:26" x14ac:dyDescent="0.2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 spans="1:26" x14ac:dyDescent="0.2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 spans="1:26" x14ac:dyDescent="0.2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 spans="1:26" x14ac:dyDescent="0.2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 spans="1:26" x14ac:dyDescent="0.2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 spans="1:26" x14ac:dyDescent="0.2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 spans="1:26" x14ac:dyDescent="0.2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 spans="1:26" x14ac:dyDescent="0.2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 spans="1:26" x14ac:dyDescent="0.2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 spans="1:26" x14ac:dyDescent="0.2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 spans="1:26" x14ac:dyDescent="0.2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 spans="1:26" x14ac:dyDescent="0.2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 spans="1:26" x14ac:dyDescent="0.2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 spans="1:26" x14ac:dyDescent="0.2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 spans="1:26" x14ac:dyDescent="0.2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 spans="1:26" x14ac:dyDescent="0.2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 spans="1:26" x14ac:dyDescent="0.2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 spans="1:26" x14ac:dyDescent="0.2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 spans="1:26" x14ac:dyDescent="0.2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 spans="1:26" x14ac:dyDescent="0.2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 spans="1:26" x14ac:dyDescent="0.2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 spans="1:26" x14ac:dyDescent="0.2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 spans="1:26" x14ac:dyDescent="0.2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 spans="1:26" x14ac:dyDescent="0.2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 spans="1:26" x14ac:dyDescent="0.2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 spans="1:26" x14ac:dyDescent="0.2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 spans="1:26" x14ac:dyDescent="0.2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 spans="1:26" x14ac:dyDescent="0.2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 spans="1:26" x14ac:dyDescent="0.2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 spans="1:26" x14ac:dyDescent="0.2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 spans="1:26" x14ac:dyDescent="0.2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 spans="1:26" x14ac:dyDescent="0.2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 spans="1:26" x14ac:dyDescent="0.2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 spans="1:26" x14ac:dyDescent="0.2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 spans="1:26" x14ac:dyDescent="0.2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 spans="1:26" x14ac:dyDescent="0.2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 spans="1:26" x14ac:dyDescent="0.2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 spans="1:26" x14ac:dyDescent="0.2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 spans="1:26" x14ac:dyDescent="0.2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 spans="1:26" x14ac:dyDescent="0.2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 spans="1:26" x14ac:dyDescent="0.2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 spans="1:26" x14ac:dyDescent="0.2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 spans="1:26" x14ac:dyDescent="0.2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 spans="1:26" x14ac:dyDescent="0.2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 spans="1:26" x14ac:dyDescent="0.2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</row>
    <row r="995" spans="1:26" x14ac:dyDescent="0.2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</row>
    <row r="996" spans="1:26" x14ac:dyDescent="0.2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</row>
    <row r="997" spans="1:26" x14ac:dyDescent="0.2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</row>
    <row r="998" spans="1:26" x14ac:dyDescent="0.2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</row>
    <row r="999" spans="1:26" x14ac:dyDescent="0.2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</row>
    <row r="1000" spans="1:26" x14ac:dyDescent="0.2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DCF</vt:lpstr>
      <vt:lpstr>WACC</vt:lpstr>
      <vt:lpstr>IS</vt:lpstr>
      <vt:lpstr>BS</vt:lpstr>
      <vt:lpstr>Sheet3</vt:lpstr>
      <vt:lpstr>beta</vt:lpstr>
      <vt:lpstr>MRP</vt:lpstr>
      <vt:lpstr>Rf</vt:lpstr>
      <vt:lpstr>scenario</vt:lpstr>
      <vt:lpstr>tax_rate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COPALU, ELLIOT (UG)</dc:creator>
  <cp:lastModifiedBy>COPALU, ELLIOT (UG)</cp:lastModifiedBy>
  <dcterms:created xsi:type="dcterms:W3CDTF">2026-08-11T15:56:30Z</dcterms:created>
  <dcterms:modified xsi:type="dcterms:W3CDTF">2026-10-05T14:25:24Z</dcterms:modified>
</cp:coreProperties>
</file>