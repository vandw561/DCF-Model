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/Documents/"/>
    </mc:Choice>
  </mc:AlternateContent>
  <xr:revisionPtr revIDLastSave="0" documentId="13_ncr:1_{F3156CB3-1F5C-0D4D-B52E-B4F194489014}" xr6:coauthVersionLast="47" xr6:coauthVersionMax="47" xr10:uidLastSave="{00000000-0000-0000-0000-000000000000}"/>
  <bookViews>
    <workbookView xWindow="0" yWindow="600" windowWidth="38400" windowHeight="21000" xr2:uid="{C8278C54-61CB-184C-B85E-023628F39944}"/>
  </bookViews>
  <sheets>
    <sheet name="DCF " sheetId="5" r:id="rId1"/>
    <sheet name="WACC" sheetId="7" r:id="rId2"/>
    <sheet name="IS" sheetId="2" r:id="rId3"/>
    <sheet name="BS" sheetId="3" r:id="rId4"/>
    <sheet name="CF" sheetId="4" r:id="rId5"/>
    <sheet name="Q2" sheetId="6" r:id="rId6"/>
  </sheets>
  <definedNames>
    <definedName name="B_eq">WACC!$E$7</definedName>
    <definedName name="D">WACC!$E$12</definedName>
    <definedName name="debt_ratio">WACC!$E$14</definedName>
    <definedName name="E">WACC!$E$11</definedName>
    <definedName name="equity_ratio">WACC!$E$13</definedName>
    <definedName name="leverage">WACC!$E$14</definedName>
    <definedName name="MRP">WACC!$E$9</definedName>
    <definedName name="Rd">WACC!$E$16</definedName>
    <definedName name="Re">WACC!$E$6</definedName>
    <definedName name="Rf">WACC!$E$8</definedName>
    <definedName name="scenario">'DCF '!$C$16</definedName>
    <definedName name="tax_shield">WACC!$E$17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" i="7" l="1"/>
  <c r="F28" i="7"/>
  <c r="F27" i="7"/>
  <c r="G27" i="7"/>
  <c r="H27" i="7" s="1"/>
  <c r="F26" i="7"/>
  <c r="F25" i="7"/>
  <c r="G25" i="7"/>
  <c r="H26" i="7"/>
  <c r="H25" i="7" l="1"/>
  <c r="D30" i="7"/>
  <c r="E17" i="7" l="1"/>
  <c r="L32" i="5" l="1"/>
  <c r="L63" i="5" s="1"/>
  <c r="W27" i="5"/>
  <c r="N27" i="5"/>
  <c r="M38" i="5"/>
  <c r="L38" i="5"/>
  <c r="R39" i="6"/>
  <c r="Q39" i="6"/>
  <c r="S37" i="6"/>
  <c r="W37" i="6"/>
  <c r="X37" i="6"/>
  <c r="S38" i="6"/>
  <c r="R37" i="6"/>
  <c r="Q37" i="6"/>
  <c r="V37" i="6"/>
  <c r="P37" i="6"/>
  <c r="K96" i="5"/>
  <c r="K37" i="5"/>
  <c r="K79" i="5"/>
  <c r="G94" i="5"/>
  <c r="H94" i="5"/>
  <c r="I94" i="5"/>
  <c r="J94" i="5"/>
  <c r="F94" i="5"/>
  <c r="O97" i="5"/>
  <c r="O96" i="5"/>
  <c r="O94" i="5"/>
  <c r="O95" i="5"/>
  <c r="F100" i="5"/>
  <c r="G100" i="5"/>
  <c r="I100" i="5"/>
  <c r="J100" i="5"/>
  <c r="H100" i="5"/>
  <c r="O117" i="5"/>
  <c r="C18" i="5"/>
  <c r="E16" i="7"/>
  <c r="M16" i="6"/>
  <c r="E14" i="7"/>
  <c r="E13" i="7"/>
  <c r="D31" i="7" s="1"/>
  <c r="E7" i="7" s="1"/>
  <c r="E6" i="7" s="1"/>
  <c r="H102" i="5"/>
  <c r="H103" i="5" s="1"/>
  <c r="I102" i="5"/>
  <c r="I103" i="5" s="1"/>
  <c r="G102" i="5"/>
  <c r="G103" i="5" s="1"/>
  <c r="L89" i="5"/>
  <c r="M89" i="5"/>
  <c r="N89" i="5"/>
  <c r="O89" i="5"/>
  <c r="K89" i="5"/>
  <c r="L91" i="5"/>
  <c r="M91" i="5"/>
  <c r="N91" i="5"/>
  <c r="O91" i="5"/>
  <c r="K91" i="5"/>
  <c r="L90" i="5"/>
  <c r="M90" i="5"/>
  <c r="N90" i="5"/>
  <c r="O90" i="5"/>
  <c r="G81" i="5"/>
  <c r="G82" i="5" s="1"/>
  <c r="H81" i="5"/>
  <c r="H82" i="5" s="1"/>
  <c r="I81" i="5"/>
  <c r="I82" i="5" s="1"/>
  <c r="J81" i="5"/>
  <c r="J82" i="5" s="1"/>
  <c r="F81" i="5"/>
  <c r="F82" i="5" s="1"/>
  <c r="N9" i="6"/>
  <c r="O14" i="6"/>
  <c r="O76" i="5"/>
  <c r="K76" i="5"/>
  <c r="O74" i="5"/>
  <c r="M50" i="5"/>
  <c r="L50" i="5"/>
  <c r="K50" i="5"/>
  <c r="J50" i="5"/>
  <c r="J87" i="5" s="1"/>
  <c r="J88" i="5" s="1"/>
  <c r="I50" i="5"/>
  <c r="I87" i="5" s="1"/>
  <c r="I88" i="5" s="1"/>
  <c r="H50" i="5"/>
  <c r="H87" i="5" s="1"/>
  <c r="H88" i="5" s="1"/>
  <c r="G50" i="5"/>
  <c r="G87" i="5" s="1"/>
  <c r="G88" i="5" s="1"/>
  <c r="F50" i="5"/>
  <c r="F87" i="5" s="1"/>
  <c r="F88" i="5" s="1"/>
  <c r="J53" i="5"/>
  <c r="J102" i="5" s="1"/>
  <c r="J103" i="5" s="1"/>
  <c r="J46" i="5"/>
  <c r="J84" i="5" s="1"/>
  <c r="J85" i="5" s="1"/>
  <c r="I46" i="5"/>
  <c r="I84" i="5" s="1"/>
  <c r="I85" i="5" s="1"/>
  <c r="H46" i="5"/>
  <c r="H84" i="5" s="1"/>
  <c r="H85" i="5" s="1"/>
  <c r="G46" i="5"/>
  <c r="G84" i="5" s="1"/>
  <c r="G85" i="5" s="1"/>
  <c r="F46" i="5"/>
  <c r="F84" i="5" s="1"/>
  <c r="F85" i="5" s="1"/>
  <c r="O70" i="5"/>
  <c r="O68" i="5"/>
  <c r="K70" i="5"/>
  <c r="K68" i="5"/>
  <c r="O63" i="5"/>
  <c r="O64" i="5" s="1"/>
  <c r="G67" i="5"/>
  <c r="H67" i="5"/>
  <c r="I67" i="5"/>
  <c r="J67" i="5"/>
  <c r="F67" i="5"/>
  <c r="F31" i="5"/>
  <c r="F73" i="5" s="1"/>
  <c r="J40" i="5"/>
  <c r="I40" i="5"/>
  <c r="H40" i="5"/>
  <c r="G40" i="5"/>
  <c r="F40" i="5"/>
  <c r="J37" i="5"/>
  <c r="I37" i="5"/>
  <c r="H37" i="5"/>
  <c r="G37" i="5"/>
  <c r="F37" i="5"/>
  <c r="J34" i="5"/>
  <c r="I34" i="5"/>
  <c r="H34" i="5"/>
  <c r="G34" i="5"/>
  <c r="F34" i="5"/>
  <c r="J31" i="5"/>
  <c r="J73" i="5" s="1"/>
  <c r="I31" i="5"/>
  <c r="I73" i="5" s="1"/>
  <c r="H31" i="5"/>
  <c r="H73" i="5" s="1"/>
  <c r="G31" i="5"/>
  <c r="G73" i="5" s="1"/>
  <c r="C7" i="5"/>
  <c r="K107" i="5" s="1"/>
  <c r="K108" i="5" l="1"/>
  <c r="L108" i="5" s="1"/>
  <c r="N96" i="5"/>
  <c r="M32" i="5"/>
  <c r="N32" i="5" s="1"/>
  <c r="N31" i="5" s="1"/>
  <c r="N23" i="5"/>
  <c r="W23" i="5" s="1"/>
  <c r="K97" i="5" s="1"/>
  <c r="N97" i="5" s="1"/>
  <c r="O31" i="5"/>
  <c r="M96" i="5"/>
  <c r="L96" i="5"/>
  <c r="K31" i="5"/>
  <c r="K38" i="5" s="1"/>
  <c r="K46" i="5"/>
  <c r="L46" i="5" s="1"/>
  <c r="L79" i="5"/>
  <c r="K103" i="5"/>
  <c r="L103" i="5" s="1"/>
  <c r="N88" i="5"/>
  <c r="O88" i="5"/>
  <c r="L88" i="5"/>
  <c r="M88" i="5"/>
  <c r="L76" i="5"/>
  <c r="M76" i="5" s="1"/>
  <c r="N76" i="5" s="1"/>
  <c r="L68" i="5"/>
  <c r="M68" i="5" s="1"/>
  <c r="N68" i="5" s="1"/>
  <c r="L70" i="5"/>
  <c r="M70" i="5" s="1"/>
  <c r="N70" i="5" s="1"/>
  <c r="F51" i="5"/>
  <c r="G51" i="5"/>
  <c r="H51" i="5"/>
  <c r="I51" i="5"/>
  <c r="J47" i="5"/>
  <c r="J51" i="5"/>
  <c r="H54" i="5"/>
  <c r="J54" i="5"/>
  <c r="F47" i="5"/>
  <c r="G47" i="5"/>
  <c r="G54" i="5"/>
  <c r="I47" i="5"/>
  <c r="I54" i="5"/>
  <c r="H47" i="5"/>
  <c r="O62" i="5"/>
  <c r="H35" i="5"/>
  <c r="F41" i="5"/>
  <c r="G35" i="5"/>
  <c r="F38" i="5"/>
  <c r="J38" i="5"/>
  <c r="I35" i="5"/>
  <c r="G41" i="5"/>
  <c r="H41" i="5"/>
  <c r="I41" i="5"/>
  <c r="I32" i="5"/>
  <c r="G38" i="5"/>
  <c r="J41" i="5"/>
  <c r="J32" i="5"/>
  <c r="H32" i="5"/>
  <c r="I38" i="5"/>
  <c r="J35" i="5"/>
  <c r="K63" i="5"/>
  <c r="H38" i="5"/>
  <c r="G32" i="5"/>
  <c r="F35" i="5"/>
  <c r="N38" i="5" l="1"/>
  <c r="N37" i="5" s="1"/>
  <c r="M63" i="5"/>
  <c r="M97" i="5"/>
  <c r="L97" i="5"/>
  <c r="K95" i="5"/>
  <c r="L95" i="5" s="1"/>
  <c r="M108" i="5"/>
  <c r="K75" i="5"/>
  <c r="K73" i="5" s="1"/>
  <c r="O38" i="5"/>
  <c r="O37" i="5" s="1"/>
  <c r="K34" i="5"/>
  <c r="K35" i="5" s="1"/>
  <c r="K47" i="5"/>
  <c r="K51" i="5"/>
  <c r="K90" i="5" s="1"/>
  <c r="K88" i="5" s="1"/>
  <c r="K41" i="5"/>
  <c r="L34" i="5"/>
  <c r="L35" i="5" s="1"/>
  <c r="M46" i="5"/>
  <c r="N95" i="5"/>
  <c r="N63" i="5"/>
  <c r="M79" i="5"/>
  <c r="K94" i="5"/>
  <c r="M103" i="5"/>
  <c r="N103" i="5" s="1"/>
  <c r="O103" i="5" s="1"/>
  <c r="N20" i="5"/>
  <c r="K74" i="5" s="1"/>
  <c r="K54" i="5"/>
  <c r="O61" i="5"/>
  <c r="K64" i="5"/>
  <c r="L64" i="5" s="1"/>
  <c r="M64" i="5" s="1"/>
  <c r="N64" i="5" s="1"/>
  <c r="K62" i="5"/>
  <c r="L62" i="5" s="1"/>
  <c r="K69" i="5"/>
  <c r="K67" i="5" s="1"/>
  <c r="M95" i="5" l="1"/>
  <c r="N108" i="5"/>
  <c r="N74" i="5"/>
  <c r="L74" i="5"/>
  <c r="M74" i="5"/>
  <c r="M34" i="5"/>
  <c r="M35" i="5" s="1"/>
  <c r="N46" i="5"/>
  <c r="E19" i="7"/>
  <c r="Q26" i="5" s="1"/>
  <c r="K40" i="5"/>
  <c r="L41" i="5"/>
  <c r="O50" i="5"/>
  <c r="N50" i="5"/>
  <c r="N79" i="5"/>
  <c r="K53" i="5"/>
  <c r="L54" i="5"/>
  <c r="K61" i="5"/>
  <c r="L69" i="5"/>
  <c r="O108" i="5" l="1"/>
  <c r="N26" i="5"/>
  <c r="W26" i="5"/>
  <c r="C17" i="5" s="1"/>
  <c r="L40" i="5"/>
  <c r="M41" i="5"/>
  <c r="M40" i="5" s="1"/>
  <c r="O46" i="5"/>
  <c r="O34" i="5" s="1"/>
  <c r="O35" i="5" s="1"/>
  <c r="N34" i="5"/>
  <c r="N35" i="5" s="1"/>
  <c r="L94" i="5"/>
  <c r="O79" i="5"/>
  <c r="M94" i="5"/>
  <c r="N94" i="5"/>
  <c r="K60" i="5"/>
  <c r="K87" i="5" s="1"/>
  <c r="K99" i="5"/>
  <c r="M54" i="5"/>
  <c r="M53" i="5" s="1"/>
  <c r="L53" i="5"/>
  <c r="L67" i="5"/>
  <c r="M62" i="5"/>
  <c r="L61" i="5"/>
  <c r="M69" i="5"/>
  <c r="N41" i="5" l="1"/>
  <c r="N40" i="5" s="1"/>
  <c r="K72" i="5"/>
  <c r="K78" i="5" s="1"/>
  <c r="L60" i="5"/>
  <c r="L87" i="5" s="1"/>
  <c r="K102" i="5"/>
  <c r="K93" i="5"/>
  <c r="K66" i="5"/>
  <c r="L99" i="5"/>
  <c r="K100" i="5"/>
  <c r="N54" i="5"/>
  <c r="N53" i="5" s="1"/>
  <c r="N62" i="5"/>
  <c r="N61" i="5" s="1"/>
  <c r="M61" i="5"/>
  <c r="M67" i="5"/>
  <c r="N69" i="5"/>
  <c r="N67" i="5" s="1"/>
  <c r="K84" i="5" l="1"/>
  <c r="K85" i="5" s="1"/>
  <c r="O41" i="5"/>
  <c r="O40" i="5" s="1"/>
  <c r="M60" i="5"/>
  <c r="M102" i="5" s="1"/>
  <c r="K81" i="5"/>
  <c r="L66" i="5"/>
  <c r="L93" i="5"/>
  <c r="L102" i="5"/>
  <c r="O54" i="5"/>
  <c r="O53" i="5" s="1"/>
  <c r="M99" i="5"/>
  <c r="L100" i="5"/>
  <c r="O69" i="5"/>
  <c r="O67" i="5" s="1"/>
  <c r="M66" i="5"/>
  <c r="K105" i="5" l="1"/>
  <c r="K110" i="5" s="1"/>
  <c r="N60" i="5"/>
  <c r="N102" i="5" s="1"/>
  <c r="M87" i="5"/>
  <c r="K82" i="5"/>
  <c r="M93" i="5"/>
  <c r="N93" i="5"/>
  <c r="N99" i="5"/>
  <c r="M100" i="5"/>
  <c r="N66" i="5" l="1"/>
  <c r="O60" i="5"/>
  <c r="O66" i="5" s="1"/>
  <c r="N87" i="5"/>
  <c r="O93" i="5"/>
  <c r="O102" i="5"/>
  <c r="O99" i="5"/>
  <c r="O100" i="5" s="1"/>
  <c r="N100" i="5"/>
  <c r="O87" i="5"/>
  <c r="L75" i="5"/>
  <c r="L73" i="5" s="1"/>
  <c r="L72" i="5" s="1"/>
  <c r="L78" i="5" s="1"/>
  <c r="M75" i="5"/>
  <c r="M73" i="5" s="1"/>
  <c r="M72" i="5" s="1"/>
  <c r="M47" i="5"/>
  <c r="O75" i="5"/>
  <c r="O73" i="5" s="1"/>
  <c r="O72" i="5" s="1"/>
  <c r="N75" i="5"/>
  <c r="N73" i="5" s="1"/>
  <c r="N72" i="5" s="1"/>
  <c r="N78" i="5" s="1"/>
  <c r="O78" i="5" l="1"/>
  <c r="O81" i="5" s="1"/>
  <c r="M78" i="5"/>
  <c r="M81" i="5" s="1"/>
  <c r="M84" i="5"/>
  <c r="M85" i="5" s="1"/>
  <c r="N47" i="5"/>
  <c r="L84" i="5"/>
  <c r="L85" i="5" s="1"/>
  <c r="O47" i="5"/>
  <c r="L81" i="5"/>
  <c r="L105" i="5" s="1"/>
  <c r="L110" i="5" s="1"/>
  <c r="O84" i="5"/>
  <c r="O85" i="5" s="1"/>
  <c r="N81" i="5"/>
  <c r="N84" i="5"/>
  <c r="N85" i="5" s="1"/>
  <c r="L47" i="5"/>
  <c r="O105" i="5" l="1"/>
  <c r="O110" i="5" s="1"/>
  <c r="N105" i="5"/>
  <c r="N110" i="5" s="1"/>
  <c r="M105" i="5"/>
  <c r="M110" i="5" s="1"/>
  <c r="M82" i="5"/>
  <c r="O82" i="5"/>
  <c r="L82" i="5"/>
  <c r="N82" i="5"/>
  <c r="O112" i="5" l="1"/>
  <c r="O113" i="5" l="1"/>
  <c r="O115" i="5" s="1"/>
  <c r="O118" i="5" s="1"/>
  <c r="O121" i="5" s="1"/>
  <c r="C10" i="5" s="1"/>
  <c r="C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24" authorId="0" shapeId="0" xr:uid="{C4663337-1591-8541-B202-18A7F16B3C6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=levB / (1+(1-taxR) * (D/E)</t>
        </r>
      </text>
    </comment>
  </commentList>
</comments>
</file>

<file path=xl/sharedStrings.xml><?xml version="1.0" encoding="utf-8"?>
<sst xmlns="http://schemas.openxmlformats.org/spreadsheetml/2006/main" count="496" uniqueCount="344">
  <si>
    <t>EBIT</t>
  </si>
  <si>
    <t>EBITDA</t>
  </si>
  <si>
    <t>Fiscal year is January-December. All values USD Millions.</t>
  </si>
  <si>
    <t>5-year trend</t>
  </si>
  <si>
    <t>Sales/Revenue</t>
  </si>
  <si>
    <t>Sales Growth</t>
  </si>
  <si>
    <t>-</t>
  </si>
  <si>
    <t>Cost of Goods Sold (COGS) incl. D&amp;A</t>
  </si>
  <si>
    <t>COGS excluding D&amp;A</t>
  </si>
  <si>
    <t>Depreciation &amp; Amortization Expense</t>
  </si>
  <si>
    <t>COGS Growth</t>
  </si>
  <si>
    <t>Gross Income</t>
  </si>
  <si>
    <t>Gross Income Growth</t>
  </si>
  <si>
    <t>Gross Profit Margin</t>
  </si>
  <si>
    <t>SG&amp;A Expense</t>
  </si>
  <si>
    <t>Research &amp; Development</t>
  </si>
  <si>
    <t>Other SG&amp;A</t>
  </si>
  <si>
    <t>SGA Growth</t>
  </si>
  <si>
    <t>Non Operating Income/Expense</t>
  </si>
  <si>
    <t>Interest Expense</t>
  </si>
  <si>
    <t>Interest Expense Growth</t>
  </si>
  <si>
    <t>Gross Interest Expense</t>
  </si>
  <si>
    <t>Pretax Income</t>
  </si>
  <si>
    <t>Pretax Income Growth</t>
  </si>
  <si>
    <t>Pretax Margin</t>
  </si>
  <si>
    <t>Income Tax</t>
  </si>
  <si>
    <t>Income Tax - Current Domestic</t>
  </si>
  <si>
    <t>Income Tax - Current Foreign</t>
  </si>
  <si>
    <t>Income Tax - Deferred Domestic</t>
  </si>
  <si>
    <t>Income Tax - Deferred Foreign</t>
  </si>
  <si>
    <t>Consolidated Net Income</t>
  </si>
  <si>
    <t>Net Income</t>
  </si>
  <si>
    <t>Net Income Growth</t>
  </si>
  <si>
    <t>Net Margin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</si>
  <si>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</si>
  <si>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</si>
  <si>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</si>
  <si>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</si>
  <si>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</si>
  <si>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</si>
  <si>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</si>
  <si>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</si>
  <si>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 Growth</t>
  </si>
  <si>
    <t>EBITDA Margin</t>
  </si>
  <si>
    <t>Assets</t>
  </si>
  <si>
    <t>Cash &amp; Short Term Investments</t>
  </si>
  <si>
    <t>Cash Only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</si>
  <si>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</si>
  <si>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</si>
  <si>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</si>
  <si>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</si>
  <si>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</si>
  <si>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Other Receivables</t>
  </si>
  <si>
    <t>Accounts Receivable Growth</t>
  </si>
  <si>
    <t>Accounts Receivable Turnover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</si>
  <si>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</si>
  <si>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</si>
  <si>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</si>
  <si>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</si>
  <si>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</si>
  <si>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</si>
  <si>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</si>
  <si>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</si>
  <si>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</si>
  <si>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</si>
  <si>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</si>
  <si>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Transportation Equipment</t>
  </si>
  <si>
    <t>Other Property, Plant &amp; Equipment</t>
  </si>
  <si>
    <t>Accumulated Depreciation</t>
  </si>
  <si>
    <t>Total Investments and Advances</t>
  </si>
  <si>
    <t>Other Long-Term Investments</t>
  </si>
  <si>
    <t>Other Assets</t>
  </si>
  <si>
    <t>Deferred Charges</t>
  </si>
  <si>
    <t>Tangible Other Assets</t>
  </si>
  <si>
    <t>Total Assets</t>
  </si>
  <si>
    <t>Assets - Total - Growth</t>
  </si>
  <si>
    <t>Asset Turnover</t>
  </si>
  <si>
    <t>Return On Average Assets</t>
  </si>
  <si>
    <t>Liabilities &amp; Shareholders' Equity</t>
  </si>
  <si>
    <t>All values USD Millions.</t>
  </si>
  <si>
    <t>ST Debt &amp; Current Portion LT Debt</t>
  </si>
  <si>
    <t>Short Term Debt</t>
  </si>
  <si>
    <t>Accounts Payable</t>
  </si>
  <si>
    <t>Accounts Payable Growth</t>
  </si>
  <si>
    <t>Other Current Liabilities</t>
  </si>
  <si>
    <t>Miscellaneous Current Liabilities</t>
  </si>
  <si>
    <t>Total Current Liabilities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</si>
  <si>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</si>
  <si>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</si>
  <si>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</si>
  <si>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</si>
  <si>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</si>
  <si>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</si>
  <si>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Provision for Risks &amp; Charges</t>
  </si>
  <si>
    <t>Deferred Taxes</t>
  </si>
  <si>
    <t>Deferred Taxes - Credit</t>
  </si>
  <si>
    <t>Deferred Taxes - Debit</t>
  </si>
  <si>
    <t>Other Liabilities</t>
  </si>
  <si>
    <t>Other Liabilities (excl. Deferred Income)</t>
  </si>
  <si>
    <t>Total Liabilities</t>
  </si>
  <si>
    <t>Total Liabilities / Total Assets</t>
  </si>
  <si>
    <t>Common Equity (Total)</t>
  </si>
  <si>
    <t>Common Stock Par/Carry Value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</si>
  <si>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</si>
  <si>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</si>
  <si>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</si>
  <si>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</si>
  <si>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Treasury Stock</t>
  </si>
  <si>
    <t>Common Equity / Total Assets</t>
  </si>
  <si>
    <t>Total Shareholders' Equity</t>
  </si>
  <si>
    <t>Total Shareholders' Equity / Total Assets</t>
  </si>
  <si>
    <t>Total Equity</t>
  </si>
  <si>
    <t>Operating Activities</t>
  </si>
  <si>
    <t>Net Income before Extraordinaries</t>
  </si>
  <si>
    <t>Depreciation, Depletion &amp; Amortization</t>
  </si>
  <si>
    <t>Deferred Taxes &amp; Investment Tax Credit</t>
  </si>
  <si>
    <t>Other Funds</t>
  </si>
  <si>
    <t>Funds from Operations</t>
  </si>
  <si>
    <t>Changes in Working Capital</t>
  </si>
  <si>
    <t>Other Accruals</t>
  </si>
  <si>
    <t>Other Assets/Liabilities</t>
  </si>
  <si>
    <t>Net Operating Cash Flow</t>
  </si>
  <si>
    <t>Net Operating Cash Flow Growth</t>
  </si>
  <si>
    <t>Net Operating Cash Flow / Sales</t>
  </si>
  <si>
    <t>Investing Activities</t>
  </si>
  <si>
    <t>Capital Expenditures</t>
  </si>
  <si>
    <t>Capital Expenditures (Fixed Assets)</t>
  </si>
  <si>
    <t>Capital Expenditures (Other Assets)</t>
  </si>
  <si>
    <t>Capital Expenditures Growth</t>
  </si>
  <si>
    <t>Capital Expenditures / Sales</t>
  </si>
  <si>
    <t>Purchase/Sale of Investments</t>
  </si>
  <si>
    <t>Purchase of Investments</t>
  </si>
  <si>
    <t>Sale/Maturity of Investments</t>
  </si>
  <si>
    <t>Other Uses</t>
  </si>
  <si>
    <t>Net Investing Cash Flow</t>
  </si>
  <si>
    <t>Net Investing Cash Flow Growth</t>
  </si>
  <si>
    <t>Net Investing Cash Flow / Sales</t>
  </si>
  <si>
    <t>Financing Activities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</si>
  <si>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</si>
  <si>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</si>
  <si>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</si>
  <si>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</si>
  <si>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</si>
  <si>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Long-Term Debt</t>
  </si>
  <si>
    <t>Issuance of Long-Term Debt</t>
  </si>
  <si>
    <t>Reduction in Long-Term Debt</t>
  </si>
  <si>
    <t>Net Financing Cash Flow</t>
  </si>
  <si>
    <t>Net Financing Cash Flow Growth</t>
  </si>
  <si>
    <t>Net Financing Cash Flow / Sales</t>
  </si>
  <si>
    <t>Exchange Rate Effect</t>
  </si>
  <si>
    <t>Net Change in Cash</t>
  </si>
  <si>
    <t>Free Cash Flow</t>
  </si>
  <si>
    <t>Free Cash Flow Growth</t>
  </si>
  <si>
    <t>Free Cash Flow Yield</t>
  </si>
  <si>
    <t>NETFLIX DCF MODEL</t>
  </si>
  <si>
    <t>X</t>
  </si>
  <si>
    <t xml:space="preserve">General </t>
  </si>
  <si>
    <t>Financials</t>
  </si>
  <si>
    <t>Assumptions</t>
  </si>
  <si>
    <t>DCF Model</t>
  </si>
  <si>
    <t>Company Ticker</t>
  </si>
  <si>
    <t>Date</t>
  </si>
  <si>
    <t xml:space="preserve">Share Price </t>
  </si>
  <si>
    <t xml:space="preserve">Intrinsic Value </t>
  </si>
  <si>
    <t xml:space="preserve">Delta </t>
  </si>
  <si>
    <t>NFLX</t>
  </si>
  <si>
    <t>Revenue</t>
  </si>
  <si>
    <t>% growth</t>
  </si>
  <si>
    <t xml:space="preserve">% sales </t>
  </si>
  <si>
    <t>% sales</t>
  </si>
  <si>
    <t>Taxes</t>
  </si>
  <si>
    <t xml:space="preserve">% tax rate </t>
  </si>
  <si>
    <t>Netflix, Inc.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</si>
  <si>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</si>
  <si>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</si>
  <si>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</si>
  <si>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</si>
  <si>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</si>
  <si>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Six Months Ended</t>
  </si>
  <si>
    <t>March 31,</t>
  </si>
  <si>
    <t>June 30,</t>
  </si>
  <si>
    <t>September 30,</t>
  </si>
  <si>
    <t>December 31,</t>
  </si>
  <si>
    <t>Revenues</t>
  </si>
  <si>
    <t xml:space="preserve"> $          10,542,801</t>
  </si>
  <si>
    <t xml:space="preserve"> $          11,079,166</t>
  </si>
  <si>
    <t xml:space="preserve"> $          11,510,307</t>
  </si>
  <si>
    <t xml:space="preserve"> $          12,050,762</t>
  </si>
  <si>
    <t xml:space="preserve"> $                        45,183,036</t>
  </si>
  <si>
    <t xml:space="preserve"> $         12,249,757</t>
  </si>
  <si>
    <t xml:space="preserve"> $         12,559,938</t>
  </si>
  <si>
    <t xml:space="preserve"> $                        24,809,695</t>
  </si>
  <si>
    <t>Cost of revenues</t>
  </si>
  <si>
    <t>Sales and 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</si>
  <si>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</si>
  <si>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</si>
  <si>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</si>
  <si>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</si>
  <si>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</si>
  <si>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</si>
  <si>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</si>
  <si>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Provision for income taxes</t>
  </si>
  <si>
    <t>Net income</t>
  </si>
  <si>
    <t xml:space="preserve"> $            2,890,351</t>
  </si>
  <si>
    <t xml:space="preserve"> $            3,125,413</t>
  </si>
  <si>
    <t xml:space="preserve"> $            2,546,916</t>
  </si>
  <si>
    <t xml:space="preserve"> $            2,418,521</t>
  </si>
  <si>
    <t xml:space="preserve"> $                        10,981,201</t>
  </si>
  <si>
    <t xml:space="preserve"> $            5,282,791</t>
  </si>
  <si>
    <t xml:space="preserve"> $            3,401,414</t>
  </si>
  <si>
    <t xml:space="preserve"> $                          8,684,205</t>
  </si>
  <si>
    <t>Earnings per share*:</t>
  </si>
  <si>
    <t>Basic</t>
  </si>
  <si>
    <t xml:space="preserve"> $                       0.68</t>
  </si>
  <si>
    <t xml:space="preserve"> $                       0.74</t>
  </si>
  <si>
    <t xml:space="preserve"> $                       0.60</t>
  </si>
  <si>
    <t xml:space="preserve"> $                       0.57</t>
  </si>
  <si>
    <t xml:space="preserve"> $                                      2.58</t>
  </si>
  <si>
    <t xml:space="preserve"> $                      1.25</t>
  </si>
  <si>
    <t xml:space="preserve"> $                      0.81</t>
  </si>
  <si>
    <t xml:space="preserve"> $                                      2.06</t>
  </si>
  <si>
    <t>Diluted</t>
  </si>
  <si>
    <t xml:space="preserve"> $                       0.66</t>
  </si>
  <si>
    <t xml:space="preserve"> $                       0.72</t>
  </si>
  <si>
    <t xml:space="preserve"> $                       0.59</t>
  </si>
  <si>
    <t xml:space="preserve"> $                       0.56</t>
  </si>
  <si>
    <t xml:space="preserve"> $                                      2.53</t>
  </si>
  <si>
    <t xml:space="preserve"> $                      1.23</t>
  </si>
  <si>
    <t xml:space="preserve"> $                      0.80</t>
  </si>
  <si>
    <t xml:space="preserve"> $                                      2.03</t>
  </si>
  <si>
    <t>Weighted-average shares of common stock outstanding*:</t>
  </si>
  <si>
    <t>Adjustments to reconcile net income to net cash</t>
  </si>
  <si>
    <t>provided by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</si>
  <si>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</si>
  <si>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</si>
  <si>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</si>
  <si>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</si>
  <si>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</si>
  <si>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</si>
  <si>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</si>
  <si>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</si>
  <si>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</si>
  <si>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current assets</t>
  </si>
  <si>
    <t>Accounts payable</t>
  </si>
  <si>
    <t>Accrued expenses and other liabilities</t>
  </si>
  <si>
    <t>Deferred revenue</t>
  </si>
  <si>
    <t>Other non-current assets and liabilities</t>
  </si>
  <si>
    <t>Net cash provided by operating activities</t>
  </si>
  <si>
    <t>Purchases of property and equipment</t>
  </si>
  <si>
    <t>Acquisitions</t>
  </si>
  <si>
    <t>Purchases of investments</t>
  </si>
  <si>
    <t>Proceeds from maturities and sales of investments</t>
  </si>
  <si>
    <t>Other investing activities</t>
  </si>
  <si>
    <t>Net cash provided by (used in) investing activities</t>
  </si>
  <si>
    <t>Repayments of debt</t>
  </si>
  <si>
    <t>Proceeds from issuance of common stock</t>
  </si>
  <si>
    <t>Repurchases of common stock</t>
  </si>
  <si>
    <t>Taxes paid related to net share settlement of equity awards</t>
  </si>
  <si>
    <t>Other financing activities</t>
  </si>
  <si>
    <t>Net cash used in financing activities</t>
  </si>
  <si>
    <t>Non-GAAP free cash flow</t>
  </si>
  <si>
    <t>EBITDA growth FY2030</t>
  </si>
  <si>
    <t>WACC</t>
  </si>
  <si>
    <t>TGR</t>
  </si>
  <si>
    <t>Triggers</t>
  </si>
  <si>
    <t>Scenario</t>
  </si>
  <si>
    <t>1 - Bearish Case</t>
  </si>
  <si>
    <t>2- Street Case</t>
  </si>
  <si>
    <t>3- Bullish Case</t>
  </si>
  <si>
    <t>EBITDA % FY2030</t>
  </si>
  <si>
    <t>EBITDA % FY2026</t>
  </si>
  <si>
    <t>EBITDA growth FY2026</t>
  </si>
  <si>
    <t xml:space="preserve">     Bear Case</t>
  </si>
  <si>
    <t xml:space="preserve">     Street Case</t>
  </si>
  <si>
    <t xml:space="preserve">     Bullish Case</t>
  </si>
  <si>
    <t>Cash Flow Items</t>
  </si>
  <si>
    <t>D&amp;A</t>
  </si>
  <si>
    <t>% CapEx</t>
  </si>
  <si>
    <t>CapEX</t>
  </si>
  <si>
    <t>Changes in WC</t>
  </si>
  <si>
    <t>EBIAT (or NOPAT)</t>
  </si>
  <si>
    <t>EBIT % FY2026</t>
  </si>
  <si>
    <t>EBIT % FY2030</t>
  </si>
  <si>
    <t>% of sales</t>
  </si>
  <si>
    <t>Plus: D&amp;A</t>
  </si>
  <si>
    <t>Minus: CapEx</t>
  </si>
  <si>
    <t xml:space="preserve">CapEx % sales </t>
  </si>
  <si>
    <t>Minus: Change in WC</t>
  </si>
  <si>
    <t xml:space="preserve">Unlevered FCF </t>
  </si>
  <si>
    <t>Discount Period</t>
  </si>
  <si>
    <t>Discounted UFCF</t>
  </si>
  <si>
    <t>Terminal Value</t>
  </si>
  <si>
    <t xml:space="preserve">Discounted Terminal Value </t>
  </si>
  <si>
    <t>Plus: Cash</t>
  </si>
  <si>
    <t xml:space="preserve">Minus: Debt </t>
  </si>
  <si>
    <t>Enterprise Value</t>
  </si>
  <si>
    <t xml:space="preserve">Equity Value </t>
  </si>
  <si>
    <t>Shares Outstanding</t>
  </si>
  <si>
    <t>Price Per Share</t>
  </si>
  <si>
    <t xml:space="preserve">End of Fiscal Year </t>
  </si>
  <si>
    <t>WACC Calculation</t>
  </si>
  <si>
    <t>Inputs</t>
  </si>
  <si>
    <t xml:space="preserve"> </t>
  </si>
  <si>
    <t>Re</t>
  </si>
  <si>
    <t>E</t>
  </si>
  <si>
    <t>D</t>
  </si>
  <si>
    <t>E/D+E</t>
  </si>
  <si>
    <t>D/D+E</t>
  </si>
  <si>
    <t>Rd</t>
  </si>
  <si>
    <t>1-t</t>
  </si>
  <si>
    <t>Beta Equity</t>
  </si>
  <si>
    <t xml:space="preserve">Risk Free Rate </t>
  </si>
  <si>
    <t>MRP</t>
  </si>
  <si>
    <t>WACC = [Re*(E/D+E)]+[Rd*(1-t )*(D/D+E)]</t>
  </si>
  <si>
    <t>Minus: Additions to Content Assets</t>
  </si>
  <si>
    <t>Minus: Change in Content Liabilities</t>
  </si>
  <si>
    <t>Content Spend % FY 2026</t>
  </si>
  <si>
    <t>Content Spend % FY 2030</t>
  </si>
  <si>
    <t>h1</t>
  </si>
  <si>
    <t>h2</t>
  </si>
  <si>
    <t>increase?</t>
  </si>
  <si>
    <t>new tot</t>
  </si>
  <si>
    <t>2026 projected</t>
  </si>
  <si>
    <t>increase 25/26</t>
  </si>
  <si>
    <t>Rev g FY2030 % street</t>
  </si>
  <si>
    <t>Rev g FY2026 % street</t>
  </si>
  <si>
    <t>Rev g FY2030 % base</t>
  </si>
  <si>
    <t>Sh. Out. 2025</t>
  </si>
  <si>
    <t>Stub</t>
  </si>
  <si>
    <t>=levB / (1+(1-taxR) * (D/E)</t>
  </si>
  <si>
    <t>Beta</t>
  </si>
  <si>
    <t>Company Name</t>
  </si>
  <si>
    <t>Lev Beta</t>
  </si>
  <si>
    <t>Market Cap</t>
  </si>
  <si>
    <t>Net Debt</t>
  </si>
  <si>
    <t>Tax Rate</t>
  </si>
  <si>
    <t>UnLev Beta</t>
  </si>
  <si>
    <t>Industry Average Ulbeta</t>
  </si>
  <si>
    <t>unlevB * (1+(1-taxR) * (D/E))</t>
  </si>
  <si>
    <t>NFLX Lev Beta</t>
  </si>
  <si>
    <t>Walt Disney</t>
  </si>
  <si>
    <t>Warner Bros</t>
  </si>
  <si>
    <t>Paramount</t>
  </si>
  <si>
    <t>ComCast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</si>
</sst>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General&quot;A&quot;"/>
    <numFmt numFmtId="165" formatCode="General&quot;F&quot;"/>
    <numFmt numFmtId="166" formatCode="#,##0;\(\_x001c_#.##0\);&quot;--&quot;"/>
    <numFmt numFmtId="167" formatCode="_(* #,##0.0_);_(* \(#,##0.0\);_(* &quot;-&quot;?_);_(@_)"/>
    <numFmt numFmtId="168" formatCode="_(&quot;$&quot;* #,##0_);_(&quot;$&quot;* \(#,##0\);_(&quot;$&quot;* &quot;-&quot;??_);_(@_)"/>
    <numFmt numFmtId="169" formatCode="#,##0.0\ ;\(#,##0.0\)"/>
    <numFmt numFmtId="170" formatCode="_(* #,##0_);_(* \(#,##0\);_(* &quot;-&quot;??_);_(@_)"/>
    <numFmt numFmtId="171" formatCode="#,##0\ ;\(#,##0.0\)"/>
    <numFmt numFmtId="172" formatCode="_(&quot;$&quot;* #,##0.00_);_(&quot;$&quot;* \(#,##0.00\);_(&quot;$&quot;* &quot;-&quot;??_);_(@_)"/>
    <numFmt numFmtId="173" formatCode="#,##0;\(\_x001c_#\);&quot;--&quot;"/>
    <numFmt numFmtId="174" formatCode="#,##0.0;\(\_x001c_#.0\);&quot;--&quot;"/>
    <numFmt numFmtId="175" formatCode="&quot;$&quot;* #,###\ ;&quot;$&quot;* \(#,###\);&quot;$&quot;* \-\ "/>
    <numFmt numFmtId="176" formatCode="0.0%"/>
    <numFmt numFmtId="177" formatCode="#,##0;\(\_x001c_#.#\);&quot;--&quot;"/>
    <numFmt numFmtId="178" formatCode="#,##0.0;\(\_x001c_#.##00\);&quot;--&quot;"/>
    <numFmt numFmtId="179" formatCode="_([$$-409]* #,##0.00_);_([$$-409]* \(#,##0.00\);_([$$-409]* &quot;-&quot;??_);_(@_)"/>
    <numFmt numFmtId="180" formatCode="#,##0.00;\(\_x001c_#.##000\);&quot;--&quot;"/>
    <numFmt numFmtId="181" formatCode="#,##0;\(#,##0\);&quot;--&quot;"/>
  </numFmts>
  <fonts count="3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9C0006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u/>
      <sz val="10"/>
      <name val="Calibri"/>
      <family val="2"/>
    </font>
    <font>
      <b/>
      <sz val="10"/>
      <name val="Calibri"/>
      <family val="2"/>
    </font>
    <font>
      <sz val="12"/>
      <color theme="1"/>
      <name val="Aptos Display"/>
      <scheme val="major"/>
    </font>
    <font>
      <sz val="12"/>
      <name val="Aptos Narrow"/>
      <family val="2"/>
      <scheme val="minor"/>
    </font>
    <font>
      <sz val="10"/>
      <name val="Helv"/>
    </font>
    <font>
      <b/>
      <sz val="10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u/>
      <sz val="12"/>
      <color theme="1"/>
      <name val="Aptos Narrow (Body)"/>
    </font>
    <font>
      <i/>
      <sz val="12"/>
      <color rgb="FF9C5700"/>
      <name val="Aptos Narrow"/>
      <scheme val="minor"/>
    </font>
    <font>
      <i/>
      <sz val="12"/>
      <color rgb="FFFF0000"/>
      <name val="Aptos Narrow"/>
      <scheme val="minor"/>
    </font>
    <font>
      <i/>
      <sz val="12"/>
      <color rgb="FF00B050"/>
      <name val="Aptos Narrow"/>
      <scheme val="minor"/>
    </font>
    <font>
      <b/>
      <sz val="12"/>
      <color theme="0"/>
      <name val="Aptos Narrow (Body)"/>
    </font>
    <font>
      <b/>
      <sz val="12"/>
      <color theme="1"/>
      <name val="Aptos Narrow"/>
      <scheme val="minor"/>
    </font>
    <font>
      <i/>
      <sz val="12"/>
      <color theme="5" tint="-0.249977111117893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4"/>
      </top>
      <bottom style="double">
        <color theme="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4" borderId="0" applyNumberFormat="0" applyBorder="0" applyAlignment="0" applyProtection="0"/>
    <xf numFmtId="0" fontId="1" fillId="6" borderId="4" applyNumberFormat="0" applyFont="0" applyAlignment="0" applyProtection="0"/>
    <xf numFmtId="0" fontId="2" fillId="0" borderId="5" applyNumberFormat="0" applyFill="0" applyAlignment="0" applyProtection="0"/>
    <xf numFmtId="0" fontId="12" fillId="0" borderId="0"/>
    <xf numFmtId="0" fontId="21" fillId="0" borderId="0"/>
    <xf numFmtId="0" fontId="21" fillId="0" borderId="0"/>
  </cellStyleXfs>
  <cellXfs count="202">
    <xf numFmtId="0" fontId="0" fillId="0" borderId="0" xfId="0"/>
    <xf numFmtId="10" fontId="0" fillId="0" borderId="0" xfId="1" applyNumberFormat="1" applyFon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4" fillId="0" borderId="0" xfId="0" applyFont="1"/>
    <xf numFmtId="164" fontId="3" fillId="2" borderId="0" xfId="0" applyNumberFormat="1" applyFont="1" applyFill="1"/>
    <xf numFmtId="165" fontId="3" fillId="3" borderId="0" xfId="0" applyNumberFormat="1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2" borderId="0" xfId="0" applyFont="1" applyFill="1"/>
    <xf numFmtId="0" fontId="8" fillId="2" borderId="0" xfId="0" applyFont="1" applyFill="1"/>
    <xf numFmtId="0" fontId="7" fillId="2" borderId="1" xfId="0" applyFont="1" applyFill="1" applyBorder="1"/>
    <xf numFmtId="9" fontId="0" fillId="0" borderId="0" xfId="1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9" fontId="0" fillId="0" borderId="0" xfId="0" applyNumberFormat="1"/>
    <xf numFmtId="164" fontId="3" fillId="2" borderId="1" xfId="0" applyNumberFormat="1" applyFont="1" applyFill="1" applyBorder="1"/>
    <xf numFmtId="166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9" fillId="0" borderId="0" xfId="0" applyFont="1"/>
    <xf numFmtId="0" fontId="9" fillId="0" borderId="1" xfId="0" applyFont="1" applyBorder="1"/>
    <xf numFmtId="9" fontId="9" fillId="0" borderId="0" xfId="0" applyNumberFormat="1" applyFont="1"/>
    <xf numFmtId="9" fontId="9" fillId="0" borderId="1" xfId="0" applyNumberFormat="1" applyFont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168" fontId="16" fillId="0" borderId="0" xfId="0" applyNumberFormat="1" applyFont="1"/>
    <xf numFmtId="167" fontId="16" fillId="0" borderId="0" xfId="0" applyNumberFormat="1" applyFont="1"/>
    <xf numFmtId="169" fontId="17" fillId="7" borderId="0" xfId="0" applyNumberFormat="1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169" fontId="18" fillId="7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7" borderId="0" xfId="0" applyFont="1" applyFill="1" applyAlignment="1">
      <alignment horizontal="center"/>
    </xf>
    <xf numFmtId="0" fontId="18" fillId="7" borderId="0" xfId="0" applyFont="1" applyFill="1"/>
    <xf numFmtId="0" fontId="18" fillId="0" borderId="0" xfId="0" applyFont="1"/>
    <xf numFmtId="168" fontId="16" fillId="0" borderId="0" xfId="0" applyNumberFormat="1" applyFont="1" applyAlignment="1">
      <alignment horizontal="right"/>
    </xf>
    <xf numFmtId="168" fontId="18" fillId="7" borderId="0" xfId="0" applyNumberFormat="1" applyFont="1" applyFill="1" applyAlignment="1">
      <alignment horizontal="right"/>
    </xf>
    <xf numFmtId="3" fontId="16" fillId="0" borderId="0" xfId="0" applyNumberFormat="1" applyFont="1" applyAlignment="1">
      <alignment horizontal="right" wrapText="1"/>
    </xf>
    <xf numFmtId="170" fontId="18" fillId="7" borderId="0" xfId="0" applyNumberFormat="1" applyFont="1" applyFill="1"/>
    <xf numFmtId="3" fontId="16" fillId="0" borderId="2" xfId="0" applyNumberFormat="1" applyFont="1" applyBorder="1" applyAlignment="1">
      <alignment horizontal="right" wrapText="1"/>
    </xf>
    <xf numFmtId="170" fontId="16" fillId="0" borderId="0" xfId="0" applyNumberFormat="1" applyFont="1"/>
    <xf numFmtId="170" fontId="18" fillId="7" borderId="6" xfId="0" applyNumberFormat="1" applyFont="1" applyFill="1" applyBorder="1"/>
    <xf numFmtId="170" fontId="16" fillId="0" borderId="6" xfId="0" applyNumberFormat="1" applyFont="1" applyBorder="1"/>
    <xf numFmtId="170" fontId="16" fillId="0" borderId="2" xfId="0" applyNumberFormat="1" applyFont="1" applyBorder="1"/>
    <xf numFmtId="168" fontId="16" fillId="0" borderId="7" xfId="0" applyNumberFormat="1" applyFont="1" applyBorder="1"/>
    <xf numFmtId="168" fontId="18" fillId="7" borderId="8" xfId="0" applyNumberFormat="1" applyFont="1" applyFill="1" applyBorder="1"/>
    <xf numFmtId="171" fontId="16" fillId="0" borderId="0" xfId="0" applyNumberFormat="1" applyFont="1"/>
    <xf numFmtId="171" fontId="18" fillId="7" borderId="0" xfId="0" applyNumberFormat="1" applyFont="1" applyFill="1"/>
    <xf numFmtId="172" fontId="16" fillId="0" borderId="0" xfId="0" applyNumberFormat="1" applyFont="1"/>
    <xf numFmtId="172" fontId="18" fillId="7" borderId="0" xfId="0" applyNumberFormat="1" applyFont="1" applyFill="1"/>
    <xf numFmtId="3" fontId="16" fillId="0" borderId="0" xfId="0" applyNumberFormat="1" applyFont="1"/>
    <xf numFmtId="0" fontId="18" fillId="7" borderId="0" xfId="0" applyFont="1" applyFill="1" applyAlignment="1">
      <alignment horizontal="right"/>
    </xf>
    <xf numFmtId="173" fontId="0" fillId="0" borderId="0" xfId="0" applyNumberFormat="1"/>
    <xf numFmtId="166" fontId="19" fillId="0" borderId="0" xfId="0" applyNumberFormat="1" applyFont="1"/>
    <xf numFmtId="173" fontId="20" fillId="0" borderId="0" xfId="6" applyNumberFormat="1" applyFont="1"/>
    <xf numFmtId="173" fontId="18" fillId="7" borderId="6" xfId="0" applyNumberFormat="1" applyFont="1" applyFill="1" applyBorder="1"/>
    <xf numFmtId="0" fontId="22" fillId="0" borderId="0" xfId="7" applyFont="1"/>
    <xf numFmtId="0" fontId="13" fillId="0" borderId="0" xfId="7" applyFont="1"/>
    <xf numFmtId="0" fontId="13" fillId="0" borderId="0" xfId="6" applyFont="1"/>
    <xf numFmtId="0" fontId="22" fillId="8" borderId="0" xfId="6" applyFont="1" applyFill="1"/>
    <xf numFmtId="0" fontId="22" fillId="0" borderId="0" xfId="6" applyFont="1"/>
    <xf numFmtId="175" fontId="13" fillId="0" borderId="0" xfId="2" applyNumberFormat="1" applyFont="1" applyFill="1" applyBorder="1"/>
    <xf numFmtId="175" fontId="22" fillId="8" borderId="0" xfId="2" applyNumberFormat="1" applyFont="1" applyFill="1" applyBorder="1"/>
    <xf numFmtId="170" fontId="13" fillId="0" borderId="0" xfId="2" applyNumberFormat="1" applyFont="1" applyFill="1"/>
    <xf numFmtId="170" fontId="22" fillId="8" borderId="0" xfId="2" applyNumberFormat="1" applyFont="1" applyFill="1" applyBorder="1"/>
    <xf numFmtId="170" fontId="13" fillId="0" borderId="2" xfId="2" applyNumberFormat="1" applyFont="1" applyFill="1" applyBorder="1"/>
    <xf numFmtId="170" fontId="13" fillId="0" borderId="9" xfId="2" applyNumberFormat="1" applyFont="1" applyFill="1" applyBorder="1"/>
    <xf numFmtId="170" fontId="22" fillId="8" borderId="9" xfId="2" applyNumberFormat="1" applyFont="1" applyFill="1" applyBorder="1"/>
    <xf numFmtId="170" fontId="13" fillId="0" borderId="0" xfId="2" applyNumberFormat="1" applyFont="1" applyFill="1" applyBorder="1"/>
    <xf numFmtId="175" fontId="13" fillId="0" borderId="8" xfId="2" applyNumberFormat="1" applyFont="1" applyFill="1" applyBorder="1"/>
    <xf numFmtId="175" fontId="22" fillId="8" borderId="8" xfId="2" applyNumberFormat="1" applyFont="1" applyFill="1" applyBorder="1"/>
    <xf numFmtId="0" fontId="13" fillId="0" borderId="0" xfId="8" applyFont="1"/>
    <xf numFmtId="0" fontId="22" fillId="8" borderId="0" xfId="7" applyFont="1" applyFill="1"/>
    <xf numFmtId="0" fontId="22" fillId="0" borderId="0" xfId="8" applyFont="1"/>
    <xf numFmtId="175" fontId="13" fillId="0" borderId="8" xfId="7" applyNumberFormat="1" applyFont="1" applyBorder="1"/>
    <xf numFmtId="175" fontId="22" fillId="8" borderId="8" xfId="7" applyNumberFormat="1" applyFont="1" applyFill="1" applyBorder="1"/>
    <xf numFmtId="166" fontId="19" fillId="0" borderId="1" xfId="0" applyNumberFormat="1" applyFont="1" applyBorder="1"/>
    <xf numFmtId="9" fontId="9" fillId="0" borderId="0" xfId="1" applyFont="1"/>
    <xf numFmtId="0" fontId="11" fillId="4" borderId="0" xfId="3"/>
    <xf numFmtId="0" fontId="24" fillId="0" borderId="0" xfId="0" applyFont="1"/>
    <xf numFmtId="0" fontId="0" fillId="0" borderId="10" xfId="0" applyBorder="1"/>
    <xf numFmtId="176" fontId="25" fillId="6" borderId="4" xfId="4" applyNumberFormat="1" applyFont="1"/>
    <xf numFmtId="176" fontId="26" fillId="6" borderId="4" xfId="4" applyNumberFormat="1" applyFont="1"/>
    <xf numFmtId="176" fontId="27" fillId="6" borderId="4" xfId="4" applyNumberFormat="1" applyFont="1"/>
    <xf numFmtId="176" fontId="9" fillId="0" borderId="0" xfId="0" applyNumberFormat="1" applyFont="1"/>
    <xf numFmtId="176" fontId="0" fillId="0" borderId="0" xfId="0" applyNumberFormat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0" fontId="0" fillId="2" borderId="0" xfId="0" applyFill="1"/>
    <xf numFmtId="0" fontId="0" fillId="2" borderId="1" xfId="0" applyFill="1" applyBorder="1"/>
    <xf numFmtId="9" fontId="0" fillId="2" borderId="0" xfId="0" applyNumberFormat="1" applyFill="1"/>
    <xf numFmtId="9" fontId="0" fillId="2" borderId="1" xfId="0" applyNumberFormat="1" applyFill="1" applyBorder="1"/>
    <xf numFmtId="176" fontId="0" fillId="0" borderId="1" xfId="0" applyNumberFormat="1" applyBorder="1"/>
    <xf numFmtId="0" fontId="12" fillId="0" borderId="0" xfId="6"/>
    <xf numFmtId="0" fontId="29" fillId="0" borderId="0" xfId="0" applyFont="1"/>
    <xf numFmtId="0" fontId="29" fillId="0" borderId="11" xfId="0" applyFont="1" applyBorder="1" applyAlignment="1">
      <alignment horizontal="left"/>
    </xf>
    <xf numFmtId="0" fontId="29" fillId="0" borderId="6" xfId="0" applyFont="1" applyBorder="1"/>
    <xf numFmtId="0" fontId="29" fillId="0" borderId="12" xfId="0" applyFont="1" applyBorder="1"/>
    <xf numFmtId="3" fontId="29" fillId="0" borderId="6" xfId="0" applyNumberFormat="1" applyFont="1" applyBorder="1"/>
    <xf numFmtId="3" fontId="29" fillId="0" borderId="12" xfId="0" applyNumberFormat="1" applyFont="1" applyBorder="1"/>
    <xf numFmtId="0" fontId="9" fillId="0" borderId="13" xfId="0" applyFont="1" applyBorder="1" applyAlignment="1">
      <alignment horizontal="left"/>
    </xf>
    <xf numFmtId="9" fontId="0" fillId="0" borderId="2" xfId="0" applyNumberFormat="1" applyBorder="1"/>
    <xf numFmtId="9" fontId="0" fillId="0" borderId="3" xfId="0" applyNumberFormat="1" applyBorder="1"/>
    <xf numFmtId="9" fontId="0" fillId="0" borderId="1" xfId="1" applyFont="1" applyBorder="1"/>
    <xf numFmtId="9" fontId="0" fillId="0" borderId="0" xfId="1" applyFont="1" applyBorder="1"/>
    <xf numFmtId="176" fontId="0" fillId="0" borderId="0" xfId="1" applyNumberFormat="1" applyFont="1" applyFill="1" applyBorder="1"/>
    <xf numFmtId="174" fontId="0" fillId="0" borderId="0" xfId="0" applyNumberFormat="1"/>
    <xf numFmtId="0" fontId="2" fillId="5" borderId="14" xfId="5" applyFill="1" applyBorder="1"/>
    <xf numFmtId="0" fontId="2" fillId="5" borderId="9" xfId="5" applyFill="1" applyBorder="1"/>
    <xf numFmtId="166" fontId="2" fillId="5" borderId="9" xfId="5" applyNumberFormat="1" applyFill="1" applyBorder="1"/>
    <xf numFmtId="0" fontId="2" fillId="5" borderId="15" xfId="5" applyFill="1" applyBorder="1"/>
    <xf numFmtId="0" fontId="10" fillId="0" borderId="0" xfId="0" applyFont="1"/>
    <xf numFmtId="2" fontId="0" fillId="0" borderId="0" xfId="0" applyNumberFormat="1"/>
    <xf numFmtId="0" fontId="5" fillId="0" borderId="2" xfId="0" applyFont="1" applyBorder="1"/>
    <xf numFmtId="9" fontId="0" fillId="6" borderId="4" xfId="4" applyNumberFormat="1" applyFont="1"/>
    <xf numFmtId="10" fontId="0" fillId="6" borderId="4" xfId="4" applyNumberFormat="1" applyFont="1"/>
    <xf numFmtId="166" fontId="0" fillId="6" borderId="4" xfId="4" applyNumberFormat="1" applyFont="1"/>
    <xf numFmtId="10" fontId="0" fillId="6" borderId="4" xfId="1" applyNumberFormat="1" applyFont="1" applyFill="1" applyBorder="1"/>
    <xf numFmtId="0" fontId="2" fillId="9" borderId="5" xfId="5" applyFill="1"/>
    <xf numFmtId="10" fontId="2" fillId="9" borderId="5" xfId="1" applyNumberFormat="1" applyFont="1" applyFill="1" applyBorder="1"/>
    <xf numFmtId="10" fontId="0" fillId="0" borderId="16" xfId="1" applyNumberFormat="1" applyFont="1" applyBorder="1"/>
    <xf numFmtId="10" fontId="0" fillId="0" borderId="10" xfId="1" applyNumberFormat="1" applyFont="1" applyBorder="1"/>
    <xf numFmtId="166" fontId="29" fillId="0" borderId="0" xfId="0" applyNumberFormat="1" applyFont="1"/>
    <xf numFmtId="173" fontId="0" fillId="0" borderId="2" xfId="0" applyNumberFormat="1" applyBorder="1"/>
    <xf numFmtId="176" fontId="30" fillId="6" borderId="4" xfId="4" applyNumberFormat="1" applyFont="1"/>
    <xf numFmtId="173" fontId="10" fillId="0" borderId="1" xfId="0" applyNumberFormat="1" applyFont="1" applyBorder="1"/>
    <xf numFmtId="9" fontId="10" fillId="0" borderId="0" xfId="1" applyFont="1" applyBorder="1"/>
    <xf numFmtId="9" fontId="10" fillId="0" borderId="1" xfId="1" applyFont="1" applyBorder="1"/>
    <xf numFmtId="9" fontId="10" fillId="0" borderId="0" xfId="0" applyNumberFormat="1" applyFont="1"/>
    <xf numFmtId="174" fontId="10" fillId="0" borderId="0" xfId="0" applyNumberFormat="1" applyFont="1"/>
    <xf numFmtId="174" fontId="10" fillId="0" borderId="1" xfId="0" applyNumberFormat="1" applyFont="1" applyBorder="1"/>
    <xf numFmtId="9" fontId="10" fillId="0" borderId="0" xfId="1" applyFont="1"/>
    <xf numFmtId="173" fontId="10" fillId="0" borderId="0" xfId="0" applyNumberFormat="1" applyFont="1"/>
    <xf numFmtId="166" fontId="10" fillId="0" borderId="0" xfId="0" applyNumberFormat="1" applyFont="1"/>
    <xf numFmtId="174" fontId="31" fillId="0" borderId="0" xfId="6" applyNumberFormat="1" applyFont="1"/>
    <xf numFmtId="0" fontId="31" fillId="0" borderId="0" xfId="6" applyFont="1"/>
    <xf numFmtId="177" fontId="31" fillId="0" borderId="0" xfId="6" applyNumberFormat="1" applyFont="1"/>
    <xf numFmtId="0" fontId="0" fillId="9" borderId="0" xfId="0" applyFill="1"/>
    <xf numFmtId="10" fontId="0" fillId="9" borderId="0" xfId="0" applyNumberFormat="1" applyFill="1"/>
    <xf numFmtId="0" fontId="23" fillId="0" borderId="11" xfId="0" applyFont="1" applyBorder="1"/>
    <xf numFmtId="0" fontId="0" fillId="0" borderId="6" xfId="0" applyBorder="1"/>
    <xf numFmtId="0" fontId="23" fillId="0" borderId="6" xfId="0" applyFont="1" applyBorder="1"/>
    <xf numFmtId="0" fontId="0" fillId="0" borderId="12" xfId="0" applyBorder="1"/>
    <xf numFmtId="0" fontId="0" fillId="0" borderId="17" xfId="0" applyBorder="1"/>
    <xf numFmtId="0" fontId="0" fillId="9" borderId="17" xfId="0" applyFill="1" applyBorder="1"/>
    <xf numFmtId="10" fontId="0" fillId="9" borderId="1" xfId="0" applyNumberFormat="1" applyFill="1" applyBorder="1"/>
    <xf numFmtId="0" fontId="0" fillId="0" borderId="13" xfId="0" applyBorder="1"/>
    <xf numFmtId="176" fontId="0" fillId="0" borderId="2" xfId="0" applyNumberFormat="1" applyBorder="1"/>
    <xf numFmtId="176" fontId="0" fillId="0" borderId="3" xfId="0" applyNumberFormat="1" applyBorder="1"/>
    <xf numFmtId="0" fontId="2" fillId="5" borderId="5" xfId="5" applyFill="1"/>
    <xf numFmtId="0" fontId="2" fillId="5" borderId="18" xfId="5" applyFill="1" applyBorder="1"/>
    <xf numFmtId="2" fontId="2" fillId="5" borderId="18" xfId="5" applyNumberFormat="1" applyFill="1" applyBorder="1"/>
    <xf numFmtId="173" fontId="31" fillId="0" borderId="0" xfId="6" applyNumberFormat="1" applyFont="1"/>
    <xf numFmtId="0" fontId="32" fillId="0" borderId="0" xfId="0" applyFont="1"/>
    <xf numFmtId="176" fontId="32" fillId="0" borderId="0" xfId="0" applyNumberFormat="1" applyFont="1"/>
    <xf numFmtId="176" fontId="10" fillId="0" borderId="0" xfId="1" applyNumberFormat="1" applyFont="1" applyBorder="1"/>
    <xf numFmtId="173" fontId="0" fillId="0" borderId="1" xfId="0" applyNumberFormat="1" applyBorder="1"/>
    <xf numFmtId="178" fontId="0" fillId="0" borderId="0" xfId="0" applyNumberFormat="1"/>
    <xf numFmtId="176" fontId="33" fillId="0" borderId="0" xfId="4" applyNumberFormat="1" applyFont="1" applyFill="1" applyBorder="1"/>
    <xf numFmtId="0" fontId="6" fillId="0" borderId="10" xfId="0" applyFont="1" applyBorder="1"/>
    <xf numFmtId="166" fontId="0" fillId="0" borderId="10" xfId="0" applyNumberFormat="1" applyBorder="1"/>
    <xf numFmtId="170" fontId="0" fillId="0" borderId="10" xfId="0" applyNumberFormat="1" applyBorder="1"/>
    <xf numFmtId="170" fontId="0" fillId="0" borderId="10" xfId="1" applyNumberFormat="1" applyFont="1" applyBorder="1"/>
    <xf numFmtId="9" fontId="0" fillId="0" borderId="10" xfId="1" applyFont="1" applyBorder="1"/>
    <xf numFmtId="10" fontId="0" fillId="3" borderId="10" xfId="1" applyNumberFormat="1" applyFont="1" applyFill="1" applyBorder="1"/>
    <xf numFmtId="179" fontId="0" fillId="0" borderId="0" xfId="0" applyNumberFormat="1"/>
    <xf numFmtId="179" fontId="29" fillId="0" borderId="0" xfId="0" applyNumberFormat="1" applyFont="1"/>
    <xf numFmtId="0" fontId="2" fillId="0" borderId="0" xfId="5" applyFill="1" applyBorder="1"/>
    <xf numFmtId="0" fontId="2" fillId="0" borderId="1" xfId="5" applyFill="1" applyBorder="1"/>
    <xf numFmtId="166" fontId="2" fillId="0" borderId="0" xfId="5" applyNumberFormat="1" applyFill="1" applyBorder="1"/>
    <xf numFmtId="0" fontId="10" fillId="0" borderId="0" xfId="5" applyFont="1" applyFill="1" applyBorder="1"/>
    <xf numFmtId="166" fontId="10" fillId="0" borderId="0" xfId="5" applyNumberFormat="1" applyFont="1" applyFill="1" applyBorder="1"/>
    <xf numFmtId="0" fontId="10" fillId="0" borderId="1" xfId="5" applyFont="1" applyFill="1" applyBorder="1"/>
    <xf numFmtId="180" fontId="10" fillId="0" borderId="0" xfId="5" applyNumberFormat="1" applyFont="1" applyFill="1" applyBorder="1"/>
    <xf numFmtId="0" fontId="34" fillId="0" borderId="0" xfId="0" applyFont="1" applyAlignment="1">
      <alignment horizontal="left" vertical="center" readingOrder="1"/>
    </xf>
    <xf numFmtId="0" fontId="0" fillId="10" borderId="11" xfId="0" applyFill="1" applyBorder="1"/>
    <xf numFmtId="0" fontId="0" fillId="10" borderId="6" xfId="0" applyFill="1" applyBorder="1"/>
    <xf numFmtId="0" fontId="0" fillId="10" borderId="12" xfId="0" applyFill="1" applyBorder="1"/>
    <xf numFmtId="0" fontId="0" fillId="11" borderId="17" xfId="0" applyFill="1" applyBorder="1"/>
    <xf numFmtId="0" fontId="0" fillId="11" borderId="0" xfId="0" applyFill="1"/>
    <xf numFmtId="0" fontId="0" fillId="11" borderId="1" xfId="0" applyFill="1" applyBorder="1"/>
    <xf numFmtId="181" fontId="0" fillId="0" borderId="0" xfId="0" applyNumberFormat="1"/>
    <xf numFmtId="2" fontId="0" fillId="0" borderId="1" xfId="0" applyNumberFormat="1" applyBorder="1"/>
    <xf numFmtId="181" fontId="0" fillId="0" borderId="2" xfId="0" applyNumberFormat="1" applyBorder="1"/>
    <xf numFmtId="10" fontId="0" fillId="0" borderId="2" xfId="0" applyNumberFormat="1" applyBorder="1"/>
    <xf numFmtId="2" fontId="0" fillId="0" borderId="3" xfId="0" applyNumberFormat="1" applyBorder="1"/>
    <xf numFmtId="176" fontId="0" fillId="0" borderId="0" xfId="1" applyNumberFormat="1" applyFont="1"/>
    <xf numFmtId="2" fontId="0" fillId="6" borderId="4" xfId="4" applyNumberFormat="1" applyFont="1"/>
    <xf numFmtId="0" fontId="0" fillId="0" borderId="0" xfId="0"/>
    <xf numFmtId="10" fontId="0" fillId="0" borderId="0" xfId="0" applyNumberFormat="1"/>
    <xf numFmtId="0" fontId="2" fillId="0" borderId="0" xfId="0" applyFont="1"/>
    <xf numFmtId="3" fontId="0" fillId="0" borderId="0" xfId="0" applyNumberFormat="1"/>
    <xf numFmtId="169" fontId="17" fillId="0" borderId="0" xfId="0" applyNumberFormat="1" applyFont="1" applyAlignment="1">
      <alignment horizontal="center" wrapText="1"/>
    </xf>
    <xf numFmtId="169" fontId="17" fillId="0" borderId="0" xfId="0" applyNumberFormat="1" applyFont="1" applyAlignment="1">
      <alignment horizontal="center"/>
    </xf>
  </cellXfs>
  <cellStyles count="9">
    <cellStyle name="Bad" xfId="3" builtinId="27"/>
    <cellStyle name="Comma" xfId="2" builtinId="3"/>
    <cellStyle name="Normal" xfId="0" builtinId="0"/>
    <cellStyle name="Normal 2" xfId="6" xr:uid="{9371AD36-E66C-704C-AEE1-64242A59C6EA}"/>
    <cellStyle name="Normal_BalanceSheets" xfId="7" xr:uid="{B67F8113-C1DB-D343-B819-E09F0814796F}"/>
    <cellStyle name="Normal_Income Statements" xfId="8" xr:uid="{D9D2FB86-3518-E647-B024-680786AB59B9}"/>
    <cellStyle name="Note" xfId="4" builtinId="10"/>
    <cellStyle name="Per cent" xfId="1" builtinId="5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DF2A-E3DC-D44C-A012-BAD0D5E6FB84}">
  <dimension ref="A1:W122"/>
  <sheetViews>
    <sheetView showGridLines="0" tabSelected="1" topLeftCell="A76" zoomScale="110" zoomScaleNormal="110" workbookViewId="0">
      <selection activeCell="C16" sqref="C16"/>
    </sheetView>
  </sheetViews>
  <sheetFormatPr baseColWidth="10" defaultRowHeight="16"/>
  <cols>
    <col min="1" max="1" width="2.83203125" customWidth="1"/>
    <col min="2" max="2" width="30.83203125" customWidth="1"/>
    <col min="4" max="4" width="10.83203125" style="10"/>
    <col min="8" max="8" width="11.5" bestFit="1" customWidth="1"/>
    <col min="10" max="10" width="11" style="10" customWidth="1"/>
    <col min="11" max="11" width="10.83203125" customWidth="1"/>
    <col min="14" max="14" width="12.6640625" bestFit="1" customWidth="1"/>
    <col min="15" max="15" width="13.1640625" bestFit="1" customWidth="1"/>
  </cols>
  <sheetData>
    <row r="1" spans="1:23">
      <c r="F1" s="8">
        <v>2021</v>
      </c>
      <c r="G1" s="8">
        <v>2022</v>
      </c>
      <c r="H1" s="8">
        <v>2023</v>
      </c>
      <c r="I1" s="8">
        <v>2024</v>
      </c>
      <c r="J1" s="23">
        <v>2025</v>
      </c>
      <c r="K1" s="9">
        <v>2026</v>
      </c>
      <c r="L1" s="9">
        <v>2027</v>
      </c>
      <c r="M1" s="9">
        <v>2028</v>
      </c>
      <c r="N1" s="9">
        <v>2029</v>
      </c>
      <c r="O1" s="9">
        <v>2030</v>
      </c>
      <c r="P1" s="19"/>
      <c r="Q1" s="20"/>
      <c r="R1" s="20"/>
      <c r="S1" s="20"/>
      <c r="T1" s="20"/>
      <c r="U1" s="20"/>
    </row>
    <row r="2" spans="1:23" s="11" customFormat="1" ht="22">
      <c r="B2" s="167" t="s">
        <v>154</v>
      </c>
      <c r="D2" s="12"/>
      <c r="J2" s="12"/>
    </row>
    <row r="4" spans="1:23" s="13" customFormat="1">
      <c r="A4" s="13" t="s">
        <v>155</v>
      </c>
      <c r="B4" s="14" t="s">
        <v>156</v>
      </c>
      <c r="D4" s="15"/>
      <c r="J4" s="15"/>
    </row>
    <row r="6" spans="1:23">
      <c r="B6" t="s">
        <v>160</v>
      </c>
      <c r="C6" s="86" t="s">
        <v>165</v>
      </c>
    </row>
    <row r="7" spans="1:23">
      <c r="B7" t="s">
        <v>161</v>
      </c>
      <c r="C7" s="2">
        <f ca="1">TODAY()</f>
        <v>46257</v>
      </c>
    </row>
    <row r="8" spans="1:23">
      <c r="B8" t="s">
        <v>299</v>
      </c>
      <c r="C8" s="2">
        <v>46387</v>
      </c>
    </row>
    <row r="9" spans="1:23">
      <c r="B9" t="s">
        <v>162</v>
      </c>
      <c r="C9" s="173">
        <v>78</v>
      </c>
    </row>
    <row r="10" spans="1:23">
      <c r="B10" s="102" t="s">
        <v>163</v>
      </c>
      <c r="C10" s="174">
        <f ca="1">O121</f>
        <v>72.77314631328862</v>
      </c>
    </row>
    <row r="11" spans="1:23">
      <c r="B11" t="s">
        <v>164</v>
      </c>
      <c r="C11" s="16">
        <f ca="1">C10/C9-1</f>
        <v>-6.7010944701427988E-2</v>
      </c>
    </row>
    <row r="13" spans="1:23" s="13" customFormat="1">
      <c r="A13" s="13" t="s">
        <v>155</v>
      </c>
      <c r="B13" s="14" t="s">
        <v>158</v>
      </c>
      <c r="D13" s="15"/>
      <c r="J13" s="15"/>
    </row>
    <row r="15" spans="1:23">
      <c r="B15" s="87" t="s">
        <v>264</v>
      </c>
      <c r="L15" s="147" t="s">
        <v>266</v>
      </c>
      <c r="M15" s="148"/>
      <c r="N15" s="148"/>
      <c r="O15" s="148"/>
      <c r="P15" s="149" t="s">
        <v>267</v>
      </c>
      <c r="Q15" s="148"/>
      <c r="R15" s="148"/>
      <c r="S15" s="148"/>
      <c r="T15" s="148"/>
      <c r="U15" s="149" t="s">
        <v>268</v>
      </c>
      <c r="V15" s="148"/>
      <c r="W15" s="150"/>
    </row>
    <row r="16" spans="1:23">
      <c r="B16" t="s">
        <v>265</v>
      </c>
      <c r="C16" s="88">
        <v>2</v>
      </c>
      <c r="L16" s="151" t="s">
        <v>325</v>
      </c>
      <c r="N16" s="22">
        <v>0.8</v>
      </c>
      <c r="U16" t="s">
        <v>325</v>
      </c>
      <c r="W16" s="25">
        <v>1.25</v>
      </c>
    </row>
    <row r="17" spans="1:23">
      <c r="B17" t="s">
        <v>262</v>
      </c>
      <c r="C17" s="128">
        <f>CHOOSE(scenario,N26,Q26,W26)</f>
        <v>8.315244632637131E-2</v>
      </c>
      <c r="L17" s="151" t="s">
        <v>324</v>
      </c>
      <c r="N17" s="22">
        <v>0.9</v>
      </c>
      <c r="U17" t="s">
        <v>326</v>
      </c>
      <c r="W17" s="25">
        <v>1.4</v>
      </c>
    </row>
    <row r="18" spans="1:23">
      <c r="B18" t="s">
        <v>263</v>
      </c>
      <c r="C18" s="129">
        <f>CHOOSE(scenario,N27,Q27,W27)</f>
        <v>2.5000000000000001E-2</v>
      </c>
      <c r="L18" s="151" t="s">
        <v>270</v>
      </c>
      <c r="N18" s="93">
        <v>0.63500000000000001</v>
      </c>
      <c r="U18" t="s">
        <v>271</v>
      </c>
      <c r="W18" s="100">
        <v>0.68200000000000005</v>
      </c>
    </row>
    <row r="19" spans="1:23">
      <c r="L19" s="151" t="s">
        <v>269</v>
      </c>
      <c r="N19" s="22">
        <v>0.71</v>
      </c>
      <c r="U19" t="s">
        <v>261</v>
      </c>
      <c r="W19" s="100">
        <v>0.74399999999999999</v>
      </c>
    </row>
    <row r="20" spans="1:23">
      <c r="L20" s="151" t="s">
        <v>281</v>
      </c>
      <c r="N20" s="93">
        <f>AVERAGE(F38:J38)</f>
        <v>0.23082124843290611</v>
      </c>
      <c r="U20" t="s">
        <v>281</v>
      </c>
      <c r="W20" s="100">
        <v>0.32500000000000001</v>
      </c>
    </row>
    <row r="21" spans="1:23">
      <c r="L21" s="151" t="s">
        <v>282</v>
      </c>
      <c r="N21" s="22">
        <v>0.32</v>
      </c>
      <c r="U21" t="s">
        <v>282</v>
      </c>
      <c r="W21" s="25">
        <v>0.38</v>
      </c>
    </row>
    <row r="22" spans="1:23">
      <c r="L22" s="151" t="s">
        <v>286</v>
      </c>
      <c r="N22" s="93">
        <v>0.02</v>
      </c>
      <c r="U22" t="s">
        <v>286</v>
      </c>
      <c r="W22" s="100">
        <v>1.4999999999999999E-2</v>
      </c>
    </row>
    <row r="23" spans="1:23">
      <c r="L23" s="151" t="s">
        <v>316</v>
      </c>
      <c r="N23" s="22">
        <f>AVERAGE($H$94:$J$94)</f>
        <v>-0.38907528785772216</v>
      </c>
      <c r="P23" s="161" t="s">
        <v>316</v>
      </c>
      <c r="Q23" s="161"/>
      <c r="R23" s="162">
        <v>-0.375</v>
      </c>
      <c r="U23" t="s">
        <v>316</v>
      </c>
      <c r="W23" s="25">
        <f>$N$23</f>
        <v>-0.38907528785772216</v>
      </c>
    </row>
    <row r="24" spans="1:23">
      <c r="L24" s="151" t="s">
        <v>317</v>
      </c>
      <c r="N24" s="22">
        <v>-0.38</v>
      </c>
      <c r="P24" s="161" t="s">
        <v>317</v>
      </c>
      <c r="Q24" s="161"/>
      <c r="R24" s="162">
        <v>-0.35</v>
      </c>
      <c r="U24" t="s">
        <v>317</v>
      </c>
      <c r="W24" s="100">
        <v>-0.33</v>
      </c>
    </row>
    <row r="25" spans="1:23">
      <c r="L25" s="151"/>
      <c r="N25" s="93"/>
      <c r="W25" s="100"/>
    </row>
    <row r="26" spans="1:23">
      <c r="L26" s="152" t="s">
        <v>262</v>
      </c>
      <c r="M26" s="145"/>
      <c r="N26" s="146">
        <f>Q26+0.5%</f>
        <v>8.8152446326371314E-2</v>
      </c>
      <c r="O26" s="145"/>
      <c r="P26" s="145" t="s">
        <v>262</v>
      </c>
      <c r="Q26" s="146">
        <f>WACC!E19</f>
        <v>8.315244632637131E-2</v>
      </c>
      <c r="R26" s="145"/>
      <c r="S26" s="145"/>
      <c r="T26" s="145"/>
      <c r="U26" s="145" t="s">
        <v>262</v>
      </c>
      <c r="V26" s="145"/>
      <c r="W26" s="153">
        <f>Q26-0.5%</f>
        <v>7.8152446326371305E-2</v>
      </c>
    </row>
    <row r="27" spans="1:23">
      <c r="L27" s="154" t="s">
        <v>263</v>
      </c>
      <c r="M27" s="11"/>
      <c r="N27" s="155">
        <f>Q27-0.5%</f>
        <v>0.02</v>
      </c>
      <c r="O27" s="11"/>
      <c r="P27" s="11" t="s">
        <v>263</v>
      </c>
      <c r="Q27" s="155">
        <v>2.5000000000000001E-2</v>
      </c>
      <c r="R27" s="11"/>
      <c r="S27" s="11"/>
      <c r="T27" s="11"/>
      <c r="U27" s="11" t="s">
        <v>263</v>
      </c>
      <c r="V27" s="11"/>
      <c r="W27" s="156">
        <f>Q27+0.5%</f>
        <v>3.0000000000000002E-2</v>
      </c>
    </row>
    <row r="29" spans="1:23" s="13" customFormat="1">
      <c r="A29" s="13" t="s">
        <v>155</v>
      </c>
      <c r="B29" s="14" t="s">
        <v>157</v>
      </c>
      <c r="D29" s="15"/>
      <c r="J29" s="15"/>
    </row>
    <row r="31" spans="1:23">
      <c r="B31" t="s">
        <v>166</v>
      </c>
      <c r="F31" s="61">
        <f>IS!F2</f>
        <v>29698</v>
      </c>
      <c r="G31" s="21">
        <f>IS!E2</f>
        <v>31616</v>
      </c>
      <c r="H31" s="21">
        <f>IS!D2</f>
        <v>33723</v>
      </c>
      <c r="I31" s="21">
        <f>IS!C2</f>
        <v>38877</v>
      </c>
      <c r="J31" s="24">
        <f>IS!B2</f>
        <v>45274</v>
      </c>
      <c r="K31" s="62">
        <f>J31*(1+K32)</f>
        <v>52065.1</v>
      </c>
      <c r="L31" s="21">
        <v>57249</v>
      </c>
      <c r="M31" s="21">
        <v>63123</v>
      </c>
      <c r="N31" s="60">
        <f>M31+(M31*N32)</f>
        <v>69750.915000000008</v>
      </c>
      <c r="O31" s="60">
        <f>N31+(N31*O32)</f>
        <v>76028.497350000005</v>
      </c>
    </row>
    <row r="32" spans="1:23" s="27" customFormat="1">
      <c r="B32" s="17" t="s">
        <v>167</v>
      </c>
      <c r="D32" s="28"/>
      <c r="G32" s="29">
        <f>G31/F31-1</f>
        <v>6.4583473634588273E-2</v>
      </c>
      <c r="H32" s="29">
        <f t="shared" ref="H32:J32" si="0">H31/G31-1</f>
        <v>6.6643471659919129E-2</v>
      </c>
      <c r="I32" s="29">
        <f t="shared" si="0"/>
        <v>0.1528333778133617</v>
      </c>
      <c r="J32" s="30">
        <f t="shared" si="0"/>
        <v>0.16454458934588567</v>
      </c>
      <c r="K32" s="29">
        <v>0.15</v>
      </c>
      <c r="L32" s="166">
        <f>K32+($O$32-$K$32)/($O$1-$K$1)</f>
        <v>0.13500000000000001</v>
      </c>
      <c r="M32" s="166">
        <f>L32+($O$32-$K$32)/($O$1-$K$1)</f>
        <v>0.12000000000000001</v>
      </c>
      <c r="N32" s="166">
        <f>M32+($O$32-$K$32)/($O$1-$K$1)</f>
        <v>0.10500000000000001</v>
      </c>
      <c r="O32" s="29">
        <v>0.09</v>
      </c>
    </row>
    <row r="34" spans="1:15">
      <c r="B34" t="s">
        <v>1</v>
      </c>
      <c r="F34" s="3">
        <f>IS!F48</f>
        <v>18633</v>
      </c>
      <c r="G34" s="3">
        <f>IS!E48</f>
        <v>19996</v>
      </c>
      <c r="H34" s="3">
        <f>IS!D48</f>
        <v>21508</v>
      </c>
      <c r="I34" s="3">
        <f>IS!C48</f>
        <v>25922</v>
      </c>
      <c r="J34" s="26">
        <f>IS!B48</f>
        <v>30175</v>
      </c>
      <c r="K34" s="3">
        <f>SUM(K37+K46)</f>
        <v>34492.795414031687</v>
      </c>
      <c r="L34" s="3">
        <f t="shared" ref="L34:O34" si="1">SUM(L37+L46)</f>
        <v>39237.136557559585</v>
      </c>
      <c r="M34" s="3">
        <f t="shared" si="1"/>
        <v>44345.631990444199</v>
      </c>
      <c r="N34" s="3">
        <f t="shared" si="1"/>
        <v>46180.229899316488</v>
      </c>
      <c r="O34" s="3">
        <f t="shared" si="1"/>
        <v>50842.564954097659</v>
      </c>
    </row>
    <row r="35" spans="1:15" s="27" customFormat="1">
      <c r="B35" s="17" t="s">
        <v>168</v>
      </c>
      <c r="D35" s="28"/>
      <c r="F35" s="29">
        <f>F34/F$31</f>
        <v>0.62741598760859318</v>
      </c>
      <c r="G35" s="29">
        <f t="shared" ref="G35:J35" si="2">G34/G$31</f>
        <v>0.63246457489878538</v>
      </c>
      <c r="H35" s="29">
        <f t="shared" si="2"/>
        <v>0.63778430151528631</v>
      </c>
      <c r="I35" s="29">
        <f t="shared" si="2"/>
        <v>0.66676955526403792</v>
      </c>
      <c r="J35" s="30">
        <f t="shared" si="2"/>
        <v>0.66649732738437073</v>
      </c>
      <c r="K35" s="29">
        <f>K34/K$31</f>
        <v>0.66249359770809402</v>
      </c>
      <c r="L35" s="29">
        <f t="shared" ref="L35:O35" si="3">L34/L$31</f>
        <v>0.68537680234693332</v>
      </c>
      <c r="M35" s="29">
        <f t="shared" si="3"/>
        <v>0.70252731952607128</v>
      </c>
      <c r="N35" s="29">
        <f t="shared" si="3"/>
        <v>0.66207346382934884</v>
      </c>
      <c r="O35" s="29">
        <f t="shared" si="3"/>
        <v>0.6687303672469288</v>
      </c>
    </row>
    <row r="36" spans="1:15">
      <c r="B36" s="17"/>
    </row>
    <row r="37" spans="1:15">
      <c r="B37" s="18" t="s">
        <v>0</v>
      </c>
      <c r="F37" s="3">
        <f>IS!F51</f>
        <v>6195</v>
      </c>
      <c r="G37" s="3">
        <f>IS!E51</f>
        <v>5633</v>
      </c>
      <c r="H37" s="3">
        <f>IS!D51</f>
        <v>6954</v>
      </c>
      <c r="I37" s="3">
        <f>IS!C51</f>
        <v>10292</v>
      </c>
      <c r="J37" s="26">
        <f>IS!B51</f>
        <v>13419</v>
      </c>
      <c r="K37" s="21">
        <f>'Q2'!O14</f>
        <v>16298</v>
      </c>
      <c r="L37" s="21">
        <v>19480</v>
      </c>
      <c r="M37" s="21">
        <v>22892</v>
      </c>
      <c r="N37" s="21">
        <f>N31*N38</f>
        <v>22884.428696520019</v>
      </c>
      <c r="O37" s="21">
        <f>O31*O38</f>
        <v>25546.412119839191</v>
      </c>
    </row>
    <row r="38" spans="1:15">
      <c r="B38" s="17" t="s">
        <v>169</v>
      </c>
      <c r="F38" s="29">
        <f t="shared" ref="F38:K38" si="4">F37/F$31</f>
        <v>0.20859990571755674</v>
      </c>
      <c r="G38" s="29">
        <f t="shared" si="4"/>
        <v>0.17816928137651822</v>
      </c>
      <c r="H38" s="29">
        <f t="shared" si="4"/>
        <v>0.20620941197402368</v>
      </c>
      <c r="I38" s="29">
        <f t="shared" si="4"/>
        <v>0.26473236103608816</v>
      </c>
      <c r="J38" s="30">
        <f t="shared" si="4"/>
        <v>0.29639528206034371</v>
      </c>
      <c r="K38" s="29">
        <f t="shared" si="4"/>
        <v>0.31303118595758006</v>
      </c>
      <c r="L38" s="29">
        <f>L37/L31</f>
        <v>0.34026795227864243</v>
      </c>
      <c r="M38" s="29">
        <f>M37/M31</f>
        <v>0.36265703467832644</v>
      </c>
      <c r="N38" s="29">
        <f>AVERAGE(J38:M38)</f>
        <v>0.32808786374372317</v>
      </c>
      <c r="O38" s="29">
        <f>AVERAGE(K38:N38)</f>
        <v>0.33601100916456805</v>
      </c>
    </row>
    <row r="39" spans="1:15">
      <c r="B39" s="17"/>
    </row>
    <row r="40" spans="1:15">
      <c r="B40" s="18" t="s">
        <v>170</v>
      </c>
      <c r="F40">
        <f>IS!F26</f>
        <v>724</v>
      </c>
      <c r="G40">
        <f>IS!E26</f>
        <v>772</v>
      </c>
      <c r="H40">
        <f>IS!D26</f>
        <v>797</v>
      </c>
      <c r="I40" s="3">
        <f>IS!C26</f>
        <v>1254</v>
      </c>
      <c r="J40" s="26">
        <f>IS!B26</f>
        <v>1741</v>
      </c>
      <c r="K40" s="21">
        <f>K37*K41</f>
        <v>2021.3167070409133</v>
      </c>
      <c r="L40" s="21">
        <f t="shared" ref="L40:O40" si="5">L37*L41</f>
        <v>2443.827643184125</v>
      </c>
      <c r="M40" s="21">
        <f t="shared" si="5"/>
        <v>2818.7810421534073</v>
      </c>
      <c r="N40" s="21">
        <f t="shared" si="5"/>
        <v>2856.8602793080395</v>
      </c>
      <c r="O40" s="21">
        <f t="shared" si="5"/>
        <v>3204.4880596036146</v>
      </c>
    </row>
    <row r="41" spans="1:15">
      <c r="B41" s="17" t="s">
        <v>171</v>
      </c>
      <c r="F41" s="22">
        <f>F40/F37</f>
        <v>0.11686844229217111</v>
      </c>
      <c r="G41" s="22">
        <f t="shared" ref="G41:J41" si="6">G40/G37</f>
        <v>0.13704952955796201</v>
      </c>
      <c r="H41" s="22">
        <f t="shared" si="6"/>
        <v>0.11461029623238424</v>
      </c>
      <c r="I41" s="22">
        <f t="shared" si="6"/>
        <v>0.12184220753983677</v>
      </c>
      <c r="J41" s="25">
        <f t="shared" si="6"/>
        <v>0.12974141143155227</v>
      </c>
      <c r="K41" s="22">
        <f>AVERAGE(F41:J41)</f>
        <v>0.12402237741078129</v>
      </c>
      <c r="L41" s="22">
        <f t="shared" ref="L41:O41" si="7">AVERAGE(G41:K41)</f>
        <v>0.12545316443450333</v>
      </c>
      <c r="M41" s="22">
        <f t="shared" si="7"/>
        <v>0.1231338914098116</v>
      </c>
      <c r="N41" s="22">
        <f t="shared" si="7"/>
        <v>0.12483861044529705</v>
      </c>
      <c r="O41" s="22">
        <f t="shared" si="7"/>
        <v>0.12543789102638911</v>
      </c>
    </row>
    <row r="42" spans="1:15">
      <c r="B42" s="17"/>
      <c r="F42" s="22"/>
      <c r="G42" s="22"/>
      <c r="H42" s="22"/>
      <c r="I42" s="22"/>
      <c r="J42" s="25"/>
      <c r="K42" s="22"/>
      <c r="L42" s="22"/>
      <c r="M42" s="22"/>
      <c r="N42" s="22"/>
      <c r="O42" s="22"/>
    </row>
    <row r="43" spans="1:15">
      <c r="B43" s="17"/>
      <c r="F43" s="22"/>
      <c r="G43" s="22"/>
      <c r="H43" s="22"/>
      <c r="I43" s="22"/>
      <c r="J43" s="25"/>
      <c r="K43" s="22"/>
      <c r="L43" s="22"/>
      <c r="M43" s="22"/>
      <c r="N43" s="22"/>
      <c r="O43" s="22"/>
    </row>
    <row r="44" spans="1:15" s="96" customFormat="1">
      <c r="A44" s="94" t="s">
        <v>155</v>
      </c>
      <c r="B44" s="95" t="s">
        <v>275</v>
      </c>
      <c r="D44" s="97"/>
      <c r="F44" s="98"/>
      <c r="G44" s="98"/>
      <c r="H44" s="98"/>
      <c r="I44" s="98"/>
      <c r="J44" s="99"/>
      <c r="K44" s="98"/>
      <c r="L44" s="98"/>
      <c r="M44" s="98"/>
      <c r="N44" s="98"/>
      <c r="O44" s="98"/>
    </row>
    <row r="45" spans="1:15">
      <c r="B45" s="17"/>
      <c r="F45" s="22"/>
      <c r="G45" s="22"/>
      <c r="H45" s="22"/>
      <c r="I45" s="22"/>
      <c r="J45" s="25"/>
      <c r="K45" s="22"/>
      <c r="L45" s="22"/>
      <c r="M45" s="22"/>
      <c r="N45" s="22"/>
      <c r="O45" s="22"/>
    </row>
    <row r="46" spans="1:15">
      <c r="B46" s="18" t="s">
        <v>276</v>
      </c>
      <c r="F46" s="21">
        <f>CF!F7</f>
        <v>12439</v>
      </c>
      <c r="G46" s="21">
        <f>CF!E7</f>
        <v>14363</v>
      </c>
      <c r="H46" s="3">
        <f>CF!D7</f>
        <v>14554</v>
      </c>
      <c r="I46" s="3">
        <f>CF!C7</f>
        <v>15630</v>
      </c>
      <c r="J46" s="26">
        <f>CF!B7</f>
        <v>16756</v>
      </c>
      <c r="K46" s="3">
        <f>J46+(J46*'Q2'!R39)</f>
        <v>18194.795414031687</v>
      </c>
      <c r="L46" s="3">
        <f>K46+(K46*'Q2'!R39)</f>
        <v>19757.136557559588</v>
      </c>
      <c r="M46" s="3">
        <f>L46+(L46*'Q2'!R39)</f>
        <v>21453.631990444199</v>
      </c>
      <c r="N46" s="3">
        <f>M46+(M46*'Q2'!R39)</f>
        <v>23295.801202796465</v>
      </c>
      <c r="O46" s="3">
        <f>N46+(N46*'Q2'!R39)</f>
        <v>25296.152834258472</v>
      </c>
    </row>
    <row r="47" spans="1:15">
      <c r="B47" s="18" t="s">
        <v>169</v>
      </c>
      <c r="F47" s="22">
        <f t="shared" ref="F47:O47" si="8">F46/F31</f>
        <v>0.4188497541922015</v>
      </c>
      <c r="G47" s="22">
        <f t="shared" si="8"/>
        <v>0.45429529352226722</v>
      </c>
      <c r="H47" s="22">
        <f t="shared" si="8"/>
        <v>0.43157488954126266</v>
      </c>
      <c r="I47" s="22">
        <f t="shared" si="8"/>
        <v>0.4020371942279497</v>
      </c>
      <c r="J47" s="25">
        <f t="shared" si="8"/>
        <v>0.37010204532402702</v>
      </c>
      <c r="K47" s="22">
        <f t="shared" si="8"/>
        <v>0.34946241175051401</v>
      </c>
      <c r="L47" s="22">
        <f t="shared" si="8"/>
        <v>0.34510885006829095</v>
      </c>
      <c r="M47" s="22">
        <f t="shared" si="8"/>
        <v>0.33987028484774484</v>
      </c>
      <c r="N47" s="22">
        <f t="shared" si="8"/>
        <v>0.33398560008562556</v>
      </c>
      <c r="O47" s="22">
        <f t="shared" si="8"/>
        <v>0.33271935808236081</v>
      </c>
    </row>
    <row r="48" spans="1:15">
      <c r="B48" s="17" t="s">
        <v>277</v>
      </c>
      <c r="F48" s="22"/>
      <c r="G48" s="22"/>
      <c r="H48" s="22"/>
      <c r="I48" s="22"/>
      <c r="J48" s="25"/>
      <c r="K48" s="22"/>
      <c r="L48" s="22"/>
      <c r="M48" s="22"/>
      <c r="N48" s="22"/>
      <c r="O48" s="22"/>
    </row>
    <row r="49" spans="1:15">
      <c r="B49" s="17"/>
      <c r="F49" s="22"/>
      <c r="G49" s="22"/>
      <c r="H49" s="22"/>
      <c r="I49" s="22"/>
      <c r="J49" s="25"/>
      <c r="K49" s="22"/>
      <c r="L49" s="22"/>
      <c r="M49" s="22"/>
      <c r="N49" s="22"/>
      <c r="O49" s="22"/>
    </row>
    <row r="50" spans="1:15">
      <c r="B50" s="18" t="s">
        <v>278</v>
      </c>
      <c r="F50" s="21">
        <f>CF!F30</f>
        <v>-552</v>
      </c>
      <c r="G50" s="21">
        <f>CF!E30</f>
        <v>-408</v>
      </c>
      <c r="H50" s="21">
        <f>CF!D30</f>
        <v>-349</v>
      </c>
      <c r="I50" s="21">
        <f>CF!C30</f>
        <v>-440</v>
      </c>
      <c r="J50" s="24">
        <f>CF!B30</f>
        <v>-688</v>
      </c>
      <c r="K50" s="21">
        <f>-(415+(415*1.2))</f>
        <v>-913</v>
      </c>
      <c r="L50" s="60">
        <f>(L31*L51)</f>
        <v>-1144.98</v>
      </c>
      <c r="M50" s="60">
        <f>(M31*M51)</f>
        <v>-1262.46</v>
      </c>
      <c r="N50" s="60">
        <f>(N31*N51)</f>
        <v>-1046.263725</v>
      </c>
      <c r="O50" s="60">
        <f>(O31*O51)</f>
        <v>-912.34196820000011</v>
      </c>
    </row>
    <row r="51" spans="1:15">
      <c r="B51" s="17" t="s">
        <v>169</v>
      </c>
      <c r="F51" s="93">
        <f>(F50/F31)</f>
        <v>-1.8587110243114015E-2</v>
      </c>
      <c r="G51" s="93">
        <f>(G50/G31)</f>
        <v>-1.2904858299595142E-2</v>
      </c>
      <c r="H51" s="93">
        <f>(H50/H31)</f>
        <v>-1.0349019956706106E-2</v>
      </c>
      <c r="I51" s="93">
        <f>(I50/I31)</f>
        <v>-1.1317745710831597E-2</v>
      </c>
      <c r="J51" s="100">
        <f>(J50/J31)</f>
        <v>-1.5196359941688387E-2</v>
      </c>
      <c r="K51" s="93">
        <f>-(K50/K31)</f>
        <v>1.7535738911478131E-2</v>
      </c>
      <c r="L51" s="93">
        <v>-0.02</v>
      </c>
      <c r="M51" s="93">
        <v>-0.02</v>
      </c>
      <c r="N51" s="93">
        <v>-1.4999999999999999E-2</v>
      </c>
      <c r="O51" s="93">
        <v>-1.2E-2</v>
      </c>
    </row>
    <row r="52" spans="1:15">
      <c r="B52" s="17"/>
      <c r="F52" s="22"/>
      <c r="G52" s="22"/>
      <c r="H52" s="22"/>
      <c r="I52" s="22"/>
      <c r="J52" s="25"/>
      <c r="K52" s="22"/>
      <c r="L52" s="22"/>
      <c r="M52" s="22"/>
      <c r="N52" s="22"/>
      <c r="O52" s="22"/>
    </row>
    <row r="53" spans="1:15">
      <c r="B53" s="18" t="s">
        <v>279</v>
      </c>
      <c r="F53" s="21"/>
      <c r="G53" s="21">
        <v>1754</v>
      </c>
      <c r="H53" s="60">
        <v>-278</v>
      </c>
      <c r="I53" s="21">
        <v>1288</v>
      </c>
      <c r="J53" s="164">
        <f>SUM((BS!B19-BS!B50)-(BS!C19-BS!C50))</f>
        <v>-306</v>
      </c>
      <c r="K53" s="21">
        <f>K31*K54</f>
        <v>958.07449467193987</v>
      </c>
      <c r="L53" s="21">
        <f>L31*L54</f>
        <v>522.81393434787208</v>
      </c>
      <c r="M53" s="21">
        <f>M31*M54</f>
        <v>850.66188331061142</v>
      </c>
      <c r="N53" s="21">
        <f>N31*N54</f>
        <v>597.26253464132515</v>
      </c>
      <c r="O53" s="21">
        <f>O31*O54</f>
        <v>942.23643235005125</v>
      </c>
    </row>
    <row r="54" spans="1:15">
      <c r="B54" s="17" t="s">
        <v>169</v>
      </c>
      <c r="F54" s="22"/>
      <c r="G54" s="22">
        <f>G53/G31</f>
        <v>5.5478238866396759E-2</v>
      </c>
      <c r="H54" s="22">
        <f>H53/H31</f>
        <v>-8.2436319425911106E-3</v>
      </c>
      <c r="I54" s="22">
        <f>I53/I31</f>
        <v>3.3130128353525218E-2</v>
      </c>
      <c r="J54" s="25">
        <f>J53/J31</f>
        <v>-6.75884613685559E-3</v>
      </c>
      <c r="K54" s="22">
        <f>AVERAGE(G54:J54)</f>
        <v>1.8401472285118819E-2</v>
      </c>
      <c r="L54" s="22">
        <f t="shared" ref="L54:O54" si="9">AVERAGE(H54:K54)</f>
        <v>9.1322806397993346E-3</v>
      </c>
      <c r="M54" s="22">
        <f t="shared" si="9"/>
        <v>1.3476258785396947E-2</v>
      </c>
      <c r="N54" s="22">
        <f t="shared" si="9"/>
        <v>8.5627913933648773E-3</v>
      </c>
      <c r="O54" s="22">
        <f t="shared" si="9"/>
        <v>1.2393200775919993E-2</v>
      </c>
    </row>
    <row r="55" spans="1:15">
      <c r="B55" s="17"/>
      <c r="F55" s="22"/>
      <c r="G55" s="22"/>
      <c r="H55" s="22"/>
      <c r="I55" s="22"/>
      <c r="J55" s="25"/>
      <c r="K55" s="22"/>
      <c r="L55" s="22"/>
      <c r="M55" s="22"/>
      <c r="N55" s="22"/>
      <c r="O55" s="22"/>
    </row>
    <row r="56" spans="1:15">
      <c r="B56" s="17"/>
      <c r="F56" s="22"/>
      <c r="G56" s="22"/>
      <c r="H56" s="22"/>
      <c r="I56" s="22"/>
      <c r="J56" s="25"/>
      <c r="K56" s="22"/>
      <c r="L56" s="22"/>
      <c r="M56" s="22"/>
      <c r="N56" s="22"/>
      <c r="O56" s="22"/>
    </row>
    <row r="57" spans="1:15">
      <c r="B57" s="17"/>
    </row>
    <row r="58" spans="1:15" s="13" customFormat="1">
      <c r="A58" s="13" t="s">
        <v>155</v>
      </c>
      <c r="B58" s="14" t="s">
        <v>159</v>
      </c>
      <c r="D58" s="15"/>
      <c r="J58" s="15"/>
    </row>
    <row r="60" spans="1:15">
      <c r="B60" t="s">
        <v>166</v>
      </c>
      <c r="F60" s="61">
        <v>29698</v>
      </c>
      <c r="G60" s="61">
        <v>31616</v>
      </c>
      <c r="H60" s="61">
        <v>33723</v>
      </c>
      <c r="I60" s="61">
        <v>38877</v>
      </c>
      <c r="J60" s="84">
        <v>45274</v>
      </c>
      <c r="K60" s="62">
        <f>J60*(1+K61)</f>
        <v>52065.1</v>
      </c>
      <c r="L60" s="62">
        <f t="shared" ref="L60:O60" si="10">K60*(1+L61)</f>
        <v>59093.888500000001</v>
      </c>
      <c r="M60" s="62">
        <f t="shared" si="10"/>
        <v>66185.15512000001</v>
      </c>
      <c r="N60" s="62">
        <f t="shared" si="10"/>
        <v>73134.596407600009</v>
      </c>
      <c r="O60" s="62">
        <f t="shared" si="10"/>
        <v>79716.710084284015</v>
      </c>
    </row>
    <row r="61" spans="1:15" s="27" customFormat="1">
      <c r="B61" s="17" t="s">
        <v>167</v>
      </c>
      <c r="C61" s="17"/>
      <c r="D61" s="28"/>
      <c r="G61" s="29">
        <v>6.4583473634588273E-2</v>
      </c>
      <c r="H61" s="29">
        <v>6.6643471659919129E-2</v>
      </c>
      <c r="I61" s="29">
        <v>0.1528333778133617</v>
      </c>
      <c r="J61" s="30">
        <v>0.16454458934588567</v>
      </c>
      <c r="K61" s="92">
        <f>CHOOSE(scenario, K62,K63,K64)</f>
        <v>0.15</v>
      </c>
      <c r="L61" s="92">
        <f>CHOOSE(scenario, L62,L63,L64)</f>
        <v>0.13500000000000001</v>
      </c>
      <c r="M61" s="92">
        <f>CHOOSE(scenario, M62,M63,M64)</f>
        <v>0.12000000000000001</v>
      </c>
      <c r="N61" s="92">
        <f>CHOOSE(scenario, N62,N63,N64)</f>
        <v>0.10500000000000001</v>
      </c>
      <c r="O61" s="92">
        <f>CHOOSE(scenario, O62,O63,O64)</f>
        <v>0.09</v>
      </c>
    </row>
    <row r="62" spans="1:15" s="27" customFormat="1">
      <c r="B62" s="18" t="s">
        <v>272</v>
      </c>
      <c r="C62" s="17"/>
      <c r="D62" s="28"/>
      <c r="G62" s="29"/>
      <c r="H62" s="29"/>
      <c r="I62" s="29"/>
      <c r="J62" s="30"/>
      <c r="K62" s="90">
        <f>K63*N16</f>
        <v>0.12</v>
      </c>
      <c r="L62" s="90">
        <f>K62+($O$62-$K$62)/($O$1-$K$1)</f>
        <v>0.11025</v>
      </c>
      <c r="M62" s="90">
        <f>L62+($O$62-$K$62)/($O$1-$K$1)</f>
        <v>0.10050000000000001</v>
      </c>
      <c r="N62" s="90">
        <f>M62+($O$62-$K$62)/($O$1-$K$1)</f>
        <v>9.0750000000000011E-2</v>
      </c>
      <c r="O62" s="90">
        <f>O63*N17</f>
        <v>8.1000000000000003E-2</v>
      </c>
    </row>
    <row r="63" spans="1:15" s="27" customFormat="1">
      <c r="B63" s="18" t="s">
        <v>273</v>
      </c>
      <c r="C63" s="17"/>
      <c r="D63" s="28"/>
      <c r="G63" s="29"/>
      <c r="H63" s="29"/>
      <c r="I63" s="29"/>
      <c r="J63" s="30"/>
      <c r="K63" s="89">
        <f>K32</f>
        <v>0.15</v>
      </c>
      <c r="L63" s="89">
        <f>L32</f>
        <v>0.13500000000000001</v>
      </c>
      <c r="M63" s="89">
        <f>M32</f>
        <v>0.12000000000000001</v>
      </c>
      <c r="N63" s="89">
        <f>N32</f>
        <v>0.10500000000000001</v>
      </c>
      <c r="O63" s="89">
        <f>O32</f>
        <v>0.09</v>
      </c>
    </row>
    <row r="64" spans="1:15" s="27" customFormat="1">
      <c r="B64" s="18" t="s">
        <v>274</v>
      </c>
      <c r="C64" s="17"/>
      <c r="D64" s="28"/>
      <c r="G64" s="29"/>
      <c r="H64" s="29"/>
      <c r="I64" s="29"/>
      <c r="J64" s="30"/>
      <c r="K64" s="91">
        <f>K63*W16</f>
        <v>0.1875</v>
      </c>
      <c r="L64" s="91">
        <f>K64+($O$64-$K$64)/($O$1-$K$1)</f>
        <v>0.172125</v>
      </c>
      <c r="M64" s="91">
        <f>L64+($O$64-$K$64)/($O$1-$K$1)</f>
        <v>0.15675</v>
      </c>
      <c r="N64" s="91">
        <f>M64+($O$64-$K$64)/($O$1-$K$1)</f>
        <v>0.141375</v>
      </c>
      <c r="O64" s="91">
        <f>O63*W17</f>
        <v>0.126</v>
      </c>
    </row>
    <row r="65" spans="2:18" s="27" customFormat="1">
      <c r="B65" s="17"/>
      <c r="C65" s="17"/>
      <c r="D65" s="28"/>
      <c r="G65" s="29"/>
      <c r="H65" s="29"/>
      <c r="I65" s="29"/>
      <c r="J65" s="30"/>
      <c r="K65" s="29"/>
      <c r="L65" s="29"/>
      <c r="M65" s="29"/>
      <c r="N65" s="85"/>
      <c r="O65" s="29"/>
    </row>
    <row r="66" spans="2:18">
      <c r="B66" t="s">
        <v>1</v>
      </c>
      <c r="F66" s="3">
        <v>18633</v>
      </c>
      <c r="G66" s="3">
        <v>19996</v>
      </c>
      <c r="H66" s="3">
        <v>21508</v>
      </c>
      <c r="I66" s="3">
        <v>25922</v>
      </c>
      <c r="J66" s="26">
        <v>30175</v>
      </c>
      <c r="K66" s="3">
        <f>K60*K67</f>
        <v>34492.795414031687</v>
      </c>
      <c r="L66" s="3">
        <f t="shared" ref="L66:O66" si="11">L60*L67</f>
        <v>40501.580338376218</v>
      </c>
      <c r="M66" s="3">
        <f t="shared" si="11"/>
        <v>46496.879618870837</v>
      </c>
      <c r="N66" s="3">
        <f t="shared" si="11"/>
        <v>48420.475569341193</v>
      </c>
      <c r="O66" s="3">
        <f t="shared" si="11"/>
        <v>53308.9848103802</v>
      </c>
    </row>
    <row r="67" spans="2:18" s="27" customFormat="1">
      <c r="B67" s="17" t="s">
        <v>168</v>
      </c>
      <c r="C67" s="17"/>
      <c r="D67" s="28"/>
      <c r="F67" s="29">
        <f>F66/F$60</f>
        <v>0.62741598760859318</v>
      </c>
      <c r="G67" s="29">
        <f>G66/G$60</f>
        <v>0.63246457489878538</v>
      </c>
      <c r="H67" s="29">
        <f>H66/H$60</f>
        <v>0.63778430151528631</v>
      </c>
      <c r="I67" s="29">
        <f>I66/I$60</f>
        <v>0.66676955526403792</v>
      </c>
      <c r="J67" s="30">
        <f>J66/J$60</f>
        <v>0.66649732738437073</v>
      </c>
      <c r="K67" s="92">
        <f>CHOOSE(scenario, K68,K69,K70)</f>
        <v>0.66249359770809402</v>
      </c>
      <c r="L67" s="92">
        <f>CHOOSE(scenario, L68,L69,L70)</f>
        <v>0.68537680234693332</v>
      </c>
      <c r="M67" s="92">
        <f>CHOOSE(scenario, M68,M69,M70)</f>
        <v>0.70252731952607128</v>
      </c>
      <c r="N67" s="92">
        <f>CHOOSE(scenario, N68,N69,N70)</f>
        <v>0.66207346382934884</v>
      </c>
      <c r="O67" s="92">
        <f>CHOOSE(scenario, O68,O69,O70)</f>
        <v>0.6687303672469288</v>
      </c>
      <c r="R67" s="29"/>
    </row>
    <row r="68" spans="2:18" s="27" customFormat="1">
      <c r="B68" s="18" t="s">
        <v>272</v>
      </c>
      <c r="C68" s="17"/>
      <c r="D68" s="28"/>
      <c r="G68" s="29"/>
      <c r="H68" s="29"/>
      <c r="I68" s="29"/>
      <c r="J68" s="30"/>
      <c r="K68" s="90">
        <f>N18</f>
        <v>0.63500000000000001</v>
      </c>
      <c r="L68" s="90">
        <f>K68+($O$68-$K$68)/($O$1-$K$1)</f>
        <v>0.65375000000000005</v>
      </c>
      <c r="M68" s="90">
        <f>L68+($O$68-$K$68)/($O$1-$K$1)</f>
        <v>0.6725000000000001</v>
      </c>
      <c r="N68" s="90">
        <f>M68+($O$68-$K$68)/($O$1-$K$1)</f>
        <v>0.69125000000000014</v>
      </c>
      <c r="O68" s="90">
        <f>N19</f>
        <v>0.71</v>
      </c>
    </row>
    <row r="69" spans="2:18" s="27" customFormat="1">
      <c r="B69" s="18" t="s">
        <v>273</v>
      </c>
      <c r="C69" s="17"/>
      <c r="D69" s="28"/>
      <c r="G69" s="29"/>
      <c r="H69" s="29"/>
      <c r="I69" s="29"/>
      <c r="J69" s="30"/>
      <c r="K69" s="89">
        <f>K35</f>
        <v>0.66249359770809402</v>
      </c>
      <c r="L69" s="89">
        <f>L35</f>
        <v>0.68537680234693332</v>
      </c>
      <c r="M69" s="89">
        <f>M35</f>
        <v>0.70252731952607128</v>
      </c>
      <c r="N69" s="89">
        <f>N35</f>
        <v>0.66207346382934884</v>
      </c>
      <c r="O69" s="89">
        <f>O35</f>
        <v>0.6687303672469288</v>
      </c>
    </row>
    <row r="70" spans="2:18" s="27" customFormat="1">
      <c r="B70" s="18" t="s">
        <v>274</v>
      </c>
      <c r="C70" s="17"/>
      <c r="D70" s="28"/>
      <c r="G70" s="29"/>
      <c r="H70" s="29"/>
      <c r="I70" s="29"/>
      <c r="J70" s="30"/>
      <c r="K70" s="91">
        <f>W18</f>
        <v>0.68200000000000005</v>
      </c>
      <c r="L70" s="91">
        <f>K70+($O$70-$K$70)/($O$1-$K$1)</f>
        <v>0.69750000000000001</v>
      </c>
      <c r="M70" s="91">
        <f>L70+($O$70-$K$70)/($O$1-$K$1)</f>
        <v>0.71299999999999997</v>
      </c>
      <c r="N70" s="91">
        <f>M70+($O$70-$K$70)/($O$1-$K$1)</f>
        <v>0.72849999999999993</v>
      </c>
      <c r="O70" s="91">
        <f>W19</f>
        <v>0.74399999999999999</v>
      </c>
    </row>
    <row r="71" spans="2:18">
      <c r="C71" s="17"/>
    </row>
    <row r="72" spans="2:18">
      <c r="B72" s="18" t="s">
        <v>0</v>
      </c>
      <c r="C72" s="18"/>
      <c r="F72" s="3">
        <v>6195</v>
      </c>
      <c r="G72" s="3">
        <v>5633</v>
      </c>
      <c r="H72" s="3">
        <v>6954</v>
      </c>
      <c r="I72" s="3">
        <v>10292</v>
      </c>
      <c r="J72" s="26">
        <v>13419</v>
      </c>
      <c r="K72" s="21">
        <f>K60*K73</f>
        <v>16298.000000000002</v>
      </c>
      <c r="L72" s="21">
        <f t="shared" ref="L72:O72" si="12">L60*L73</f>
        <v>20107.756432077418</v>
      </c>
      <c r="M72" s="21">
        <f t="shared" si="12"/>
        <v>24002.512095544258</v>
      </c>
      <c r="N72" s="21">
        <f t="shared" si="12"/>
        <v>23994.57350112886</v>
      </c>
      <c r="O72" s="21">
        <f t="shared" si="12"/>
        <v>26785.692202699571</v>
      </c>
      <c r="R72" s="22"/>
    </row>
    <row r="73" spans="2:18">
      <c r="B73" s="17" t="s">
        <v>169</v>
      </c>
      <c r="F73" s="29">
        <f>F72/F$31</f>
        <v>0.20859990571755674</v>
      </c>
      <c r="G73" s="29">
        <f t="shared" ref="G73" si="13">G72/G$31</f>
        <v>0.17816928137651822</v>
      </c>
      <c r="H73" s="29">
        <f t="shared" ref="H73" si="14">H72/H$31</f>
        <v>0.20620941197402368</v>
      </c>
      <c r="I73" s="29">
        <f t="shared" ref="I73" si="15">I72/I$31</f>
        <v>0.26473236103608816</v>
      </c>
      <c r="J73" s="30">
        <f t="shared" ref="J73" si="16">J72/J$31</f>
        <v>0.29639528206034371</v>
      </c>
      <c r="K73" s="92">
        <f>CHOOSE(scenario, K74,K75,K76)</f>
        <v>0.31303118595758006</v>
      </c>
      <c r="L73" s="92">
        <f>CHOOSE(scenario, L74,L75,L76)</f>
        <v>0.34026795227864243</v>
      </c>
      <c r="M73" s="92">
        <f>CHOOSE(scenario, M74,M75,M76)</f>
        <v>0.36265703467832644</v>
      </c>
      <c r="N73" s="92">
        <f>CHOOSE(scenario, N74,N75,N76)</f>
        <v>0.32808786374372317</v>
      </c>
      <c r="O73" s="92">
        <f>CHOOSE(scenario, O74,O75,O76)</f>
        <v>0.33601100916456805</v>
      </c>
    </row>
    <row r="74" spans="2:18" s="27" customFormat="1">
      <c r="B74" s="18" t="s">
        <v>272</v>
      </c>
      <c r="C74" s="17"/>
      <c r="D74" s="28"/>
      <c r="G74" s="29"/>
      <c r="H74" s="29"/>
      <c r="I74" s="29"/>
      <c r="J74" s="30"/>
      <c r="K74" s="90">
        <f>N20</f>
        <v>0.23082124843290611</v>
      </c>
      <c r="L74" s="90">
        <f>K74+($O$74-$K$74)/($O$1-$K$1)</f>
        <v>0.2531159363246796</v>
      </c>
      <c r="M74" s="90">
        <f>K74+($O$74-$K$74)/($O$1-$K$1)</f>
        <v>0.2531159363246796</v>
      </c>
      <c r="N74" s="90">
        <f>K74+($O$74-$K$74)/($O$1-$K$1)</f>
        <v>0.2531159363246796</v>
      </c>
      <c r="O74" s="90">
        <f>N21</f>
        <v>0.32</v>
      </c>
    </row>
    <row r="75" spans="2:18" s="27" customFormat="1">
      <c r="B75" s="18" t="s">
        <v>273</v>
      </c>
      <c r="C75" s="17"/>
      <c r="D75" s="28"/>
      <c r="G75" s="29"/>
      <c r="H75" s="29"/>
      <c r="I75" s="29"/>
      <c r="J75" s="30"/>
      <c r="K75" s="132">
        <f>K38</f>
        <v>0.31303118595758006</v>
      </c>
      <c r="L75" s="132">
        <f t="shared" ref="L75:O75" si="17">L38</f>
        <v>0.34026795227864243</v>
      </c>
      <c r="M75" s="132">
        <f t="shared" si="17"/>
        <v>0.36265703467832644</v>
      </c>
      <c r="N75" s="132">
        <f t="shared" si="17"/>
        <v>0.32808786374372317</v>
      </c>
      <c r="O75" s="132">
        <f t="shared" si="17"/>
        <v>0.33601100916456805</v>
      </c>
    </row>
    <row r="76" spans="2:18" s="27" customFormat="1">
      <c r="B76" s="18" t="s">
        <v>274</v>
      </c>
      <c r="C76" s="17"/>
      <c r="D76" s="28"/>
      <c r="G76" s="29"/>
      <c r="H76" s="29"/>
      <c r="I76" s="29"/>
      <c r="J76" s="30"/>
      <c r="K76" s="91">
        <f>W20</f>
        <v>0.32500000000000001</v>
      </c>
      <c r="L76" s="91">
        <f>K76+($O$76-$K$76)/($O$1-$K$1)</f>
        <v>0.33875</v>
      </c>
      <c r="M76" s="91">
        <f>L76+($O$76-$K$76)/($O$1-$K$1)</f>
        <v>0.35249999999999998</v>
      </c>
      <c r="N76" s="91">
        <f>M76+($O$76-$K$76)/($O$1-$K$1)</f>
        <v>0.36624999999999996</v>
      </c>
      <c r="O76" s="91">
        <f>W21</f>
        <v>0.38</v>
      </c>
    </row>
    <row r="77" spans="2:18">
      <c r="B77" s="17"/>
      <c r="C77" s="17"/>
      <c r="K77" s="101"/>
      <c r="L77" s="101"/>
      <c r="M77" s="101"/>
      <c r="N77" s="101"/>
      <c r="O77" s="101"/>
    </row>
    <row r="78" spans="2:18">
      <c r="B78" s="18" t="s">
        <v>170</v>
      </c>
      <c r="C78" s="18"/>
      <c r="F78">
        <v>724</v>
      </c>
      <c r="G78">
        <v>772</v>
      </c>
      <c r="H78">
        <v>797</v>
      </c>
      <c r="I78" s="3">
        <v>1254</v>
      </c>
      <c r="J78" s="26">
        <v>1741</v>
      </c>
      <c r="K78" s="21">
        <f>K72*K79</f>
        <v>2021.3167070409136</v>
      </c>
      <c r="L78" s="21">
        <f t="shared" ref="L78:O78" si="18">L72*L79</f>
        <v>2522.5816740823502</v>
      </c>
      <c r="M78" s="21">
        <f t="shared" si="18"/>
        <v>2955.522717935436</v>
      </c>
      <c r="N78" s="21">
        <f t="shared" si="18"/>
        <v>2995.4492141084729</v>
      </c>
      <c r="O78" s="21">
        <f t="shared" si="18"/>
        <v>3359.9407395886292</v>
      </c>
    </row>
    <row r="79" spans="2:18">
      <c r="B79" s="17" t="s">
        <v>171</v>
      </c>
      <c r="C79" s="17"/>
      <c r="F79" s="22">
        <v>0.11686844229217111</v>
      </c>
      <c r="G79" s="22">
        <v>0.13704952955796201</v>
      </c>
      <c r="H79" s="22">
        <v>0.11461029623238424</v>
      </c>
      <c r="I79" s="22">
        <v>0.12184220753983677</v>
      </c>
      <c r="J79" s="25">
        <v>0.12974141143155227</v>
      </c>
      <c r="K79" s="22">
        <f>AVERAGE(F79:J79)</f>
        <v>0.12402237741078129</v>
      </c>
      <c r="L79" s="22">
        <f t="shared" ref="L79" si="19">AVERAGE(G79:K79)</f>
        <v>0.12545316443450333</v>
      </c>
      <c r="M79" s="22">
        <f t="shared" ref="M79" si="20">AVERAGE(H79:L79)</f>
        <v>0.1231338914098116</v>
      </c>
      <c r="N79" s="22">
        <f t="shared" ref="N79" si="21">AVERAGE(I79:M79)</f>
        <v>0.12483861044529705</v>
      </c>
      <c r="O79" s="22">
        <f t="shared" ref="O79" si="22">AVERAGE(J79:N79)</f>
        <v>0.12543789102638911</v>
      </c>
    </row>
    <row r="80" spans="2:18" s="27" customFormat="1">
      <c r="B80" s="17"/>
      <c r="C80"/>
      <c r="D80" s="10"/>
      <c r="E80"/>
      <c r="F80" s="22"/>
      <c r="G80" s="22"/>
      <c r="H80" s="22"/>
      <c r="I80" s="22"/>
      <c r="J80" s="25"/>
      <c r="K80" s="22"/>
      <c r="L80"/>
      <c r="M80"/>
      <c r="N80"/>
      <c r="O80"/>
      <c r="P80"/>
    </row>
    <row r="81" spans="2:19" s="27" customFormat="1">
      <c r="B81" s="103" t="s">
        <v>280</v>
      </c>
      <c r="C81" s="104"/>
      <c r="D81" s="105"/>
      <c r="E81" s="104"/>
      <c r="F81" s="106">
        <f>F72-F78</f>
        <v>5471</v>
      </c>
      <c r="G81" s="106">
        <f t="shared" ref="G81:N81" si="23">G72-G78</f>
        <v>4861</v>
      </c>
      <c r="H81" s="106">
        <f t="shared" si="23"/>
        <v>6157</v>
      </c>
      <c r="I81" s="106">
        <f t="shared" si="23"/>
        <v>9038</v>
      </c>
      <c r="J81" s="107">
        <f t="shared" si="23"/>
        <v>11678</v>
      </c>
      <c r="K81" s="106">
        <f>K72-K78</f>
        <v>14276.683292959089</v>
      </c>
      <c r="L81" s="106">
        <f t="shared" si="23"/>
        <v>17585.174757995068</v>
      </c>
      <c r="M81" s="106">
        <f t="shared" si="23"/>
        <v>21046.989377608821</v>
      </c>
      <c r="N81" s="106">
        <f t="shared" si="23"/>
        <v>20999.124287020386</v>
      </c>
      <c r="O81" s="107">
        <f>O72-O78</f>
        <v>23425.751463110941</v>
      </c>
      <c r="P81"/>
      <c r="S81" s="119"/>
    </row>
    <row r="82" spans="2:19" s="27" customFormat="1">
      <c r="B82" s="108" t="s">
        <v>283</v>
      </c>
      <c r="C82" s="11"/>
      <c r="D82" s="12"/>
      <c r="E82" s="11"/>
      <c r="F82" s="109">
        <f>F81/F60</f>
        <v>0.18422115967405212</v>
      </c>
      <c r="G82" s="109">
        <f t="shared" ref="G82:N82" si="24">G81/G60</f>
        <v>0.15375126518218624</v>
      </c>
      <c r="H82" s="109">
        <f t="shared" si="24"/>
        <v>0.18257569018177505</v>
      </c>
      <c r="I82" s="109">
        <f t="shared" si="24"/>
        <v>0.23247678576021813</v>
      </c>
      <c r="J82" s="110">
        <f t="shared" si="24"/>
        <v>0.25794053982418164</v>
      </c>
      <c r="K82" s="109">
        <f t="shared" si="24"/>
        <v>0.27420831407140461</v>
      </c>
      <c r="L82" s="109">
        <f t="shared" si="24"/>
        <v>0.29758026090963818</v>
      </c>
      <c r="M82" s="109">
        <f t="shared" si="24"/>
        <v>0.31800166275124109</v>
      </c>
      <c r="N82" s="109">
        <f t="shared" si="24"/>
        <v>0.28712983072999082</v>
      </c>
      <c r="O82" s="110">
        <f>O81/O60</f>
        <v>0.29386249681331594</v>
      </c>
      <c r="P82"/>
      <c r="S82" s="85"/>
    </row>
    <row r="84" spans="2:19">
      <c r="B84" s="18" t="s">
        <v>284</v>
      </c>
      <c r="F84" s="21">
        <f>F46</f>
        <v>12439</v>
      </c>
      <c r="G84" s="21">
        <f t="shared" ref="G84:J84" si="25">G46</f>
        <v>14363</v>
      </c>
      <c r="H84" s="21">
        <f t="shared" si="25"/>
        <v>14554</v>
      </c>
      <c r="I84" s="21">
        <f t="shared" si="25"/>
        <v>15630</v>
      </c>
      <c r="J84" s="24">
        <f t="shared" si="25"/>
        <v>16756</v>
      </c>
      <c r="K84" s="3">
        <f>K66-K72</f>
        <v>18194.795414031687</v>
      </c>
      <c r="L84" s="3">
        <f t="shared" ref="L84:O84" si="26">L66-L72</f>
        <v>20393.8239062988</v>
      </c>
      <c r="M84" s="3">
        <f t="shared" si="26"/>
        <v>22494.367523326579</v>
      </c>
      <c r="N84" s="3">
        <f t="shared" si="26"/>
        <v>24425.902068212334</v>
      </c>
      <c r="O84" s="3">
        <f t="shared" si="26"/>
        <v>26523.292607680629</v>
      </c>
    </row>
    <row r="85" spans="2:19">
      <c r="B85" s="17" t="s">
        <v>168</v>
      </c>
      <c r="C85" s="27"/>
      <c r="F85" s="16">
        <f>F84/F60</f>
        <v>0.4188497541922015</v>
      </c>
      <c r="G85" s="16">
        <f t="shared" ref="G85:J85" si="27">G84/G60</f>
        <v>0.45429529352226722</v>
      </c>
      <c r="H85" s="16">
        <f t="shared" si="27"/>
        <v>0.43157488954126266</v>
      </c>
      <c r="I85" s="16">
        <f t="shared" si="27"/>
        <v>0.4020371942279497</v>
      </c>
      <c r="J85" s="111">
        <f t="shared" si="27"/>
        <v>0.37010204532402702</v>
      </c>
      <c r="K85" s="16">
        <f>K84/K60</f>
        <v>0.34946241175051401</v>
      </c>
      <c r="L85" s="16">
        <f t="shared" ref="L85" si="28">L84/L60</f>
        <v>0.3451088500682909</v>
      </c>
      <c r="M85" s="16">
        <f t="shared" ref="M85" si="29">M84/M60</f>
        <v>0.33987028484774479</v>
      </c>
      <c r="N85" s="16">
        <f t="shared" ref="N85" si="30">N84/N60</f>
        <v>0.33398560008562567</v>
      </c>
      <c r="O85" s="112">
        <f t="shared" ref="O85" si="31">O84/O60</f>
        <v>0.33271935808236069</v>
      </c>
    </row>
    <row r="87" spans="2:19">
      <c r="B87" t="s">
        <v>285</v>
      </c>
      <c r="F87" s="21">
        <f>F50</f>
        <v>-552</v>
      </c>
      <c r="G87" s="21">
        <f>G50</f>
        <v>-408</v>
      </c>
      <c r="H87" s="21">
        <f>H50</f>
        <v>-349</v>
      </c>
      <c r="I87" s="21">
        <f>I50</f>
        <v>-440</v>
      </c>
      <c r="J87" s="24">
        <f>J50</f>
        <v>-688</v>
      </c>
      <c r="K87" s="114">
        <f>K88*K60</f>
        <v>-913</v>
      </c>
      <c r="L87" s="114">
        <f>L88*L60</f>
        <v>-1181.8777700000001</v>
      </c>
      <c r="M87" s="114">
        <f>M88*M60</f>
        <v>-1323.7031024000003</v>
      </c>
      <c r="N87" s="114">
        <f>N88*N60</f>
        <v>-1097.0189461140001</v>
      </c>
      <c r="O87" s="114">
        <f>O88*O60</f>
        <v>-956.6005210114082</v>
      </c>
    </row>
    <row r="88" spans="2:19">
      <c r="B88" s="27" t="s">
        <v>168</v>
      </c>
      <c r="F88" s="16">
        <f>F87/F60</f>
        <v>-1.8587110243114015E-2</v>
      </c>
      <c r="G88" s="16">
        <f>G87/G60</f>
        <v>-1.2904858299595142E-2</v>
      </c>
      <c r="H88" s="16">
        <f>H87/H60</f>
        <v>-1.0349019956706106E-2</v>
      </c>
      <c r="I88" s="16">
        <f>I87/I60</f>
        <v>-1.1317745710831597E-2</v>
      </c>
      <c r="J88" s="111">
        <f>J87/J60</f>
        <v>-1.5196359941688387E-2</v>
      </c>
      <c r="K88" s="113">
        <f>CHOOSE(scenario,K89,K90,K91)</f>
        <v>-1.7535738911478131E-2</v>
      </c>
      <c r="L88" s="113">
        <f>CHOOSE(scenario,L89,L90,L91)</f>
        <v>-0.02</v>
      </c>
      <c r="M88" s="113">
        <f>CHOOSE(scenario,M89,M90,M91)</f>
        <v>-0.02</v>
      </c>
      <c r="N88" s="113">
        <f>CHOOSE(scenario,N89,N90,N91)</f>
        <v>-1.4999999999999999E-2</v>
      </c>
      <c r="O88" s="113">
        <f>CHOOSE(scenario,O89,O90,O91)</f>
        <v>-1.2E-2</v>
      </c>
    </row>
    <row r="89" spans="2:19" s="27" customFormat="1">
      <c r="B89" s="18" t="s">
        <v>272</v>
      </c>
      <c r="C89" s="17"/>
      <c r="D89" s="28"/>
      <c r="G89" s="29"/>
      <c r="H89" s="29"/>
      <c r="I89" s="29"/>
      <c r="J89" s="30"/>
      <c r="K89" s="90">
        <f>-$N$22</f>
        <v>-0.02</v>
      </c>
      <c r="L89" s="90">
        <f t="shared" ref="L89:O89" si="32">-$N$22</f>
        <v>-0.02</v>
      </c>
      <c r="M89" s="90">
        <f t="shared" si="32"/>
        <v>-0.02</v>
      </c>
      <c r="N89" s="90">
        <f t="shared" si="32"/>
        <v>-0.02</v>
      </c>
      <c r="O89" s="90">
        <f t="shared" si="32"/>
        <v>-0.02</v>
      </c>
    </row>
    <row r="90" spans="2:19" s="27" customFormat="1">
      <c r="B90" s="18" t="s">
        <v>273</v>
      </c>
      <c r="C90" s="17"/>
      <c r="D90" s="28"/>
      <c r="G90" s="29"/>
      <c r="H90" s="29"/>
      <c r="I90" s="29"/>
      <c r="J90" s="30"/>
      <c r="K90" s="132">
        <f>-$K$51</f>
        <v>-1.7535738911478131E-2</v>
      </c>
      <c r="L90" s="132">
        <f>L51</f>
        <v>-0.02</v>
      </c>
      <c r="M90" s="132">
        <f>M51</f>
        <v>-0.02</v>
      </c>
      <c r="N90" s="132">
        <f>N51</f>
        <v>-1.4999999999999999E-2</v>
      </c>
      <c r="O90" s="132">
        <f>O51</f>
        <v>-1.2E-2</v>
      </c>
    </row>
    <row r="91" spans="2:19" s="27" customFormat="1">
      <c r="B91" s="18" t="s">
        <v>274</v>
      </c>
      <c r="C91" s="17"/>
      <c r="D91" s="28"/>
      <c r="G91" s="29"/>
      <c r="H91" s="29"/>
      <c r="I91" s="29"/>
      <c r="J91" s="30"/>
      <c r="K91" s="91">
        <f>-$W$22</f>
        <v>-1.4999999999999999E-2</v>
      </c>
      <c r="L91" s="91">
        <f t="shared" ref="L91:O91" si="33">-$W$22</f>
        <v>-1.4999999999999999E-2</v>
      </c>
      <c r="M91" s="91">
        <f t="shared" si="33"/>
        <v>-1.4999999999999999E-2</v>
      </c>
      <c r="N91" s="91">
        <f t="shared" si="33"/>
        <v>-1.4999999999999999E-2</v>
      </c>
      <c r="O91" s="91">
        <f t="shared" si="33"/>
        <v>-1.4999999999999999E-2</v>
      </c>
    </row>
    <row r="92" spans="2:19" s="27" customFormat="1">
      <c r="B92" s="18"/>
      <c r="C92" s="17"/>
      <c r="D92" s="28"/>
      <c r="G92" s="29"/>
      <c r="H92" s="29"/>
      <c r="I92" s="29"/>
      <c r="J92" s="30"/>
      <c r="K92" s="101"/>
      <c r="L92" s="101"/>
      <c r="M92" s="101"/>
      <c r="N92" s="101"/>
      <c r="O92" s="101"/>
    </row>
    <row r="93" spans="2:19" s="27" customFormat="1">
      <c r="B93" s="18" t="s">
        <v>314</v>
      </c>
      <c r="C93" s="17"/>
      <c r="D93" s="28"/>
      <c r="F93" s="137">
        <v>-17702</v>
      </c>
      <c r="G93" s="137">
        <v>-16839</v>
      </c>
      <c r="H93" s="137">
        <v>-12555</v>
      </c>
      <c r="I93" s="137">
        <v>-16224</v>
      </c>
      <c r="J93" s="138">
        <v>-17096</v>
      </c>
      <c r="K93" s="160">
        <f>K94*K60</f>
        <v>-19524.412499999999</v>
      </c>
      <c r="L93" s="160">
        <f>L94*L60</f>
        <v>-21790.871384375001</v>
      </c>
      <c r="M93" s="160">
        <f>M94*M60</f>
        <v>-23992.118731000002</v>
      </c>
      <c r="N93" s="160">
        <f>N94*N60</f>
        <v>-26054.199970207501</v>
      </c>
      <c r="O93" s="160">
        <f>O94*O60</f>
        <v>-27900.848529499403</v>
      </c>
    </row>
    <row r="94" spans="2:19" s="27" customFormat="1">
      <c r="B94" s="17" t="s">
        <v>169</v>
      </c>
      <c r="C94" s="17"/>
      <c r="D94" s="28"/>
      <c r="F94" s="134">
        <f>F93/F60</f>
        <v>-0.59606707522392077</v>
      </c>
      <c r="G94" s="134">
        <f>G93/G60</f>
        <v>-0.5326100708502024</v>
      </c>
      <c r="H94" s="134">
        <f>H93/H60</f>
        <v>-0.37229783827061647</v>
      </c>
      <c r="I94" s="134">
        <f>I93/I60</f>
        <v>-0.41731615093757235</v>
      </c>
      <c r="J94" s="135">
        <f>J93/J60</f>
        <v>-0.37761187436497767</v>
      </c>
      <c r="K94" s="163">
        <f>CHOOSE(scenario,K95,K96,K97)</f>
        <v>-0.375</v>
      </c>
      <c r="L94" s="163">
        <f>CHOOSE(scenario,L95,L96,L97)</f>
        <v>-0.36875000000000002</v>
      </c>
      <c r="M94" s="163">
        <f>CHOOSE(scenario,M95,M96,M97)</f>
        <v>-0.36249999999999999</v>
      </c>
      <c r="N94" s="163">
        <f>CHOOSE(scenario,N95,N96,N97)</f>
        <v>-0.35624999999999996</v>
      </c>
      <c r="O94" s="163">
        <f>CHOOSE(scenario,O95,O96,O97)</f>
        <v>-0.35</v>
      </c>
    </row>
    <row r="95" spans="2:19" s="27" customFormat="1">
      <c r="B95" s="18" t="s">
        <v>272</v>
      </c>
      <c r="C95" s="17"/>
      <c r="D95" s="28"/>
      <c r="G95" s="29"/>
      <c r="H95" s="29"/>
      <c r="I95" s="29"/>
      <c r="J95" s="30"/>
      <c r="K95" s="90">
        <f>$N$23</f>
        <v>-0.38907528785772216</v>
      </c>
      <c r="L95" s="90">
        <f>K95+(O95-K95)*(L1-K1)/(O1-K1)</f>
        <v>-0.3868064658932916</v>
      </c>
      <c r="M95" s="90">
        <f>K95+(O95-K95)*(M1-K1)/(O1-K1)</f>
        <v>-0.38453764392886108</v>
      </c>
      <c r="N95" s="90">
        <f>K95+(O95-K95)*(N1-K1)/(O1-K1)</f>
        <v>-0.38226882196443057</v>
      </c>
      <c r="O95" s="90">
        <f>$N$24</f>
        <v>-0.38</v>
      </c>
    </row>
    <row r="96" spans="2:19" s="27" customFormat="1">
      <c r="B96" s="18" t="s">
        <v>273</v>
      </c>
      <c r="C96" s="17"/>
      <c r="D96" s="28"/>
      <c r="G96" s="29"/>
      <c r="H96" s="29"/>
      <c r="I96" s="29"/>
      <c r="J96" s="30"/>
      <c r="K96" s="132">
        <f>$R$23</f>
        <v>-0.375</v>
      </c>
      <c r="L96" s="132">
        <f>K96+(O96-K96)*(L1-K1)/(O1-K1)</f>
        <v>-0.36875000000000002</v>
      </c>
      <c r="M96" s="132">
        <f>K96+(O96-K96)*(M1-K1)/(O1-K1)</f>
        <v>-0.36249999999999999</v>
      </c>
      <c r="N96" s="132">
        <f>K96+(O96-K96)*(N1-K1)/(O1-K1)</f>
        <v>-0.35624999999999996</v>
      </c>
      <c r="O96" s="132">
        <f>$R$24</f>
        <v>-0.35</v>
      </c>
    </row>
    <row r="97" spans="2:15" s="27" customFormat="1">
      <c r="B97" s="18" t="s">
        <v>274</v>
      </c>
      <c r="C97" s="17"/>
      <c r="D97" s="28"/>
      <c r="G97" s="29"/>
      <c r="H97" s="29"/>
      <c r="I97" s="29"/>
      <c r="J97" s="30"/>
      <c r="K97" s="91">
        <f>$W$23</f>
        <v>-0.38907528785772216</v>
      </c>
      <c r="L97" s="91">
        <f>K97+(O97-K97)*(L1-K1)/(O1-K1)</f>
        <v>-0.37430646589329164</v>
      </c>
      <c r="M97" s="91">
        <f>K97+(O97-K97)*(M1-K1)/(O1-K1)</f>
        <v>-0.35953764392886112</v>
      </c>
      <c r="N97" s="91">
        <f>K97+(O97-K97)*(N1-K1)/(O1-K1)</f>
        <v>-0.34476882196443054</v>
      </c>
      <c r="O97" s="91">
        <f>$W$24</f>
        <v>-0.33</v>
      </c>
    </row>
    <row r="98" spans="2:15" s="27" customFormat="1">
      <c r="B98" s="17"/>
      <c r="C98" s="17"/>
      <c r="D98" s="28"/>
      <c r="F98" s="134"/>
      <c r="G98" s="134"/>
      <c r="H98" s="134"/>
      <c r="I98" s="134"/>
      <c r="J98" s="135"/>
      <c r="K98" s="134"/>
      <c r="L98" s="134"/>
      <c r="M98" s="134"/>
      <c r="N98" s="134"/>
      <c r="O98" s="134"/>
    </row>
    <row r="99" spans="2:15" s="27" customFormat="1">
      <c r="B99" s="18" t="s">
        <v>315</v>
      </c>
      <c r="C99" s="17"/>
      <c r="D99" s="28"/>
      <c r="F99" s="137">
        <v>232.9</v>
      </c>
      <c r="G99" s="137">
        <v>179.3</v>
      </c>
      <c r="H99" s="137">
        <v>-585.6</v>
      </c>
      <c r="I99" s="137">
        <v>-779.1</v>
      </c>
      <c r="J99" s="138">
        <v>-610.79999999999995</v>
      </c>
      <c r="K99" s="142">
        <f>J99+(J99*K61)</f>
        <v>-702.42</v>
      </c>
      <c r="L99" s="144">
        <f>K99+(K99*L61)</f>
        <v>-797.24669999999992</v>
      </c>
      <c r="M99" s="144">
        <f>L99+(L99*M61)</f>
        <v>-892.91630399999985</v>
      </c>
      <c r="N99" s="144">
        <f>M99+(M99*N61)</f>
        <v>-986.6725159199998</v>
      </c>
      <c r="O99" s="144">
        <f>N99+(N99*O61)</f>
        <v>-1075.4730423527999</v>
      </c>
    </row>
    <row r="100" spans="2:15" s="27" customFormat="1">
      <c r="B100" s="17" t="s">
        <v>169</v>
      </c>
      <c r="C100" s="17"/>
      <c r="D100" s="28"/>
      <c r="F100" s="139">
        <f t="shared" ref="F100:O100" si="34">F99/F60</f>
        <v>7.842278941342852E-3</v>
      </c>
      <c r="G100" s="134">
        <f t="shared" si="34"/>
        <v>5.6711791497975712E-3</v>
      </c>
      <c r="H100" s="139">
        <f t="shared" si="34"/>
        <v>-1.7365003113601993E-2</v>
      </c>
      <c r="I100" s="139">
        <f t="shared" si="34"/>
        <v>-2.0040126552974769E-2</v>
      </c>
      <c r="J100" s="135">
        <f t="shared" si="34"/>
        <v>-1.3491186994743118E-2</v>
      </c>
      <c r="K100" s="139">
        <f t="shared" si="34"/>
        <v>-1.349118699474312E-2</v>
      </c>
      <c r="L100" s="134">
        <f t="shared" si="34"/>
        <v>-1.3491186994743118E-2</v>
      </c>
      <c r="M100" s="139">
        <f t="shared" si="34"/>
        <v>-1.3491186994743115E-2</v>
      </c>
      <c r="N100" s="139">
        <f t="shared" si="34"/>
        <v>-1.3491186994743115E-2</v>
      </c>
      <c r="O100" s="134">
        <f t="shared" si="34"/>
        <v>-1.3491186994743117E-2</v>
      </c>
    </row>
    <row r="101" spans="2:15" s="27" customFormat="1">
      <c r="B101" s="18"/>
      <c r="C101" s="17"/>
      <c r="D101" s="28"/>
      <c r="F101" s="119"/>
      <c r="G101" s="136"/>
      <c r="H101" s="140"/>
      <c r="I101" s="141"/>
      <c r="J101" s="133"/>
      <c r="K101" s="143"/>
      <c r="L101" s="143"/>
      <c r="M101" s="143"/>
      <c r="N101" s="143"/>
      <c r="O101" s="143"/>
    </row>
    <row r="102" spans="2:15">
      <c r="B102" s="18" t="s">
        <v>287</v>
      </c>
      <c r="G102" s="21">
        <f>G53</f>
        <v>1754</v>
      </c>
      <c r="H102" s="21">
        <f>H53</f>
        <v>-278</v>
      </c>
      <c r="I102" s="21">
        <f>I53</f>
        <v>1288</v>
      </c>
      <c r="J102" s="24">
        <f>J53</f>
        <v>-306</v>
      </c>
      <c r="K102" s="165">
        <f>K103*K60</f>
        <v>686.51172286956296</v>
      </c>
      <c r="L102" s="165">
        <f>L103*L60</f>
        <v>189.89215272847699</v>
      </c>
      <c r="M102" s="165">
        <f>M103*M60</f>
        <v>542.68645658384139</v>
      </c>
      <c r="N102" s="165">
        <f>N103*N60</f>
        <v>417.33953137095392</v>
      </c>
      <c r="O102" s="165">
        <f>O103*O60</f>
        <v>554.26939591337384</v>
      </c>
    </row>
    <row r="103" spans="2:15">
      <c r="B103" s="27" t="s">
        <v>168</v>
      </c>
      <c r="G103" s="16">
        <f>G102/G60</f>
        <v>5.5478238866396759E-2</v>
      </c>
      <c r="H103" s="16">
        <f>H102/H60</f>
        <v>-8.2436319425911106E-3</v>
      </c>
      <c r="I103" s="16">
        <f>I102/I60</f>
        <v>3.3130128353525218E-2</v>
      </c>
      <c r="J103" s="111">
        <f>J102/J60</f>
        <v>-6.75884613685559E-3</v>
      </c>
      <c r="K103" s="22">
        <f>AVERAGE(I103:J103)</f>
        <v>1.3185641108334815E-2</v>
      </c>
      <c r="L103" s="22">
        <f t="shared" ref="L103:O103" si="35">AVERAGE(J103:K103)</f>
        <v>3.2133974857396124E-3</v>
      </c>
      <c r="M103" s="22">
        <f t="shared" si="35"/>
        <v>8.1995192970372131E-3</v>
      </c>
      <c r="N103" s="22">
        <f t="shared" si="35"/>
        <v>5.7064583913884123E-3</v>
      </c>
      <c r="O103" s="22">
        <f t="shared" si="35"/>
        <v>6.9529888442128127E-3</v>
      </c>
    </row>
    <row r="105" spans="2:15">
      <c r="B105" s="115" t="s">
        <v>288</v>
      </c>
      <c r="C105" s="116"/>
      <c r="D105" s="118"/>
      <c r="E105" s="116"/>
      <c r="F105" s="116"/>
      <c r="G105" s="116"/>
      <c r="H105" s="116"/>
      <c r="I105" s="116"/>
      <c r="J105" s="118"/>
      <c r="K105" s="117">
        <f>K81+K84+K87-K102+K93+K99</f>
        <v>10645.134484121214</v>
      </c>
      <c r="L105" s="117">
        <f>L81+L84+L87+(-L102)+L93+L99</f>
        <v>14019.110657190391</v>
      </c>
      <c r="M105" s="117">
        <f>M81+M84+M87+(-M102)+M93+M99</f>
        <v>16789.932306951552</v>
      </c>
      <c r="N105" s="117">
        <f>N81+N84+N87+(-N102)+N93+N99</f>
        <v>16869.795391620264</v>
      </c>
      <c r="O105" s="117">
        <f>O81+O84+O87-O102+O93+O99</f>
        <v>19461.852582014581</v>
      </c>
    </row>
    <row r="106" spans="2:15">
      <c r="B106" s="175"/>
      <c r="C106" s="175"/>
      <c r="D106" s="176"/>
      <c r="E106" s="175"/>
      <c r="F106" s="175"/>
      <c r="G106" s="175"/>
      <c r="H106" s="175"/>
      <c r="I106" s="175"/>
      <c r="J106" s="176"/>
      <c r="K106" s="177"/>
      <c r="L106" s="177"/>
      <c r="M106" s="177"/>
      <c r="N106" s="177"/>
      <c r="O106" s="177"/>
    </row>
    <row r="107" spans="2:15">
      <c r="B107" s="178" t="s">
        <v>328</v>
      </c>
      <c r="C107" s="178"/>
      <c r="D107" s="180"/>
      <c r="E107" s="178"/>
      <c r="F107" s="178"/>
      <c r="G107" s="178"/>
      <c r="H107" s="178"/>
      <c r="I107" s="178"/>
      <c r="J107" s="180"/>
      <c r="K107" s="181">
        <f ca="1">YEARFRAC(C7,C8)</f>
        <v>0.35555555555555557</v>
      </c>
      <c r="L107" s="179"/>
      <c r="M107" s="179"/>
      <c r="N107" s="179"/>
      <c r="O107" s="179"/>
    </row>
    <row r="108" spans="2:15">
      <c r="B108" s="178" t="s">
        <v>289</v>
      </c>
      <c r="C108" s="178"/>
      <c r="D108" s="180"/>
      <c r="E108" s="178"/>
      <c r="F108" s="178"/>
      <c r="G108" s="178"/>
      <c r="H108" s="178"/>
      <c r="I108" s="178"/>
      <c r="J108" s="180"/>
      <c r="K108" s="181">
        <f ca="1">K107/2</f>
        <v>0.17777777777777778</v>
      </c>
      <c r="L108" s="181">
        <f ca="1">K108+0.5</f>
        <v>0.67777777777777781</v>
      </c>
      <c r="M108" s="181">
        <f ca="1">L108+1</f>
        <v>1.6777777777777778</v>
      </c>
      <c r="N108" s="181">
        <f t="shared" ref="N108:O108" ca="1" si="36">M108+1</f>
        <v>2.677777777777778</v>
      </c>
      <c r="O108" s="181">
        <f t="shared" ca="1" si="36"/>
        <v>3.677777777777778</v>
      </c>
    </row>
    <row r="110" spans="2:15">
      <c r="B110" s="102" t="s">
        <v>290</v>
      </c>
      <c r="K110" s="130">
        <f ca="1">(K105*K107)/(1+$C$17)^K108</f>
        <v>3731.5699233554828</v>
      </c>
      <c r="L110" s="130">
        <f ca="1">L105/(1+$C$17)^L108</f>
        <v>13280.322879596319</v>
      </c>
      <c r="M110" s="130">
        <f ca="1">M105/(1+$C$17)^M108</f>
        <v>14684.10666255547</v>
      </c>
      <c r="N110" s="130">
        <f ca="1">N105/(1+$C$17)^N108</f>
        <v>13621.308076607682</v>
      </c>
      <c r="O110" s="130">
        <f ca="1">O105/(1+$C$17)^O108</f>
        <v>14507.867951826671</v>
      </c>
    </row>
    <row r="112" spans="2:15">
      <c r="B112" t="s">
        <v>291</v>
      </c>
      <c r="O112" s="21">
        <f>O105*(1+$C$18)/(C17-C18)</f>
        <v>343036.28061677312</v>
      </c>
    </row>
    <row r="113" spans="2:15">
      <c r="B113" s="102" t="s">
        <v>292</v>
      </c>
      <c r="O113" s="130">
        <f ca="1">O112/(1+C17)^O108</f>
        <v>255716.92319122175</v>
      </c>
    </row>
    <row r="115" spans="2:15">
      <c r="B115" s="102" t="s">
        <v>295</v>
      </c>
      <c r="O115" s="130">
        <f ca="1">O113+SUM(K110:O110)</f>
        <v>315542.09868516336</v>
      </c>
    </row>
    <row r="116" spans="2:15">
      <c r="B116" t="s">
        <v>293</v>
      </c>
      <c r="O116" s="21">
        <v>9034</v>
      </c>
    </row>
    <row r="117" spans="2:15">
      <c r="B117" s="11" t="s">
        <v>294</v>
      </c>
      <c r="C117" s="11"/>
      <c r="D117" s="12"/>
      <c r="E117" s="11"/>
      <c r="F117" s="11"/>
      <c r="G117" s="11"/>
      <c r="H117" s="11"/>
      <c r="I117" s="11"/>
      <c r="J117" s="12"/>
      <c r="K117" s="11"/>
      <c r="L117" s="11"/>
      <c r="M117" s="11"/>
      <c r="N117" s="11"/>
      <c r="O117" s="131">
        <f>-D</f>
        <v>-15363</v>
      </c>
    </row>
    <row r="118" spans="2:15">
      <c r="B118" s="102" t="s">
        <v>296</v>
      </c>
      <c r="O118" s="130">
        <f ca="1">SUM(O115:O117)</f>
        <v>309213.09868516336</v>
      </c>
    </row>
    <row r="119" spans="2:15">
      <c r="B119" s="11" t="s">
        <v>297</v>
      </c>
      <c r="C119" s="11"/>
      <c r="D119" s="12"/>
      <c r="E119" s="11"/>
      <c r="F119" s="11"/>
      <c r="G119" s="11"/>
      <c r="H119" s="11"/>
      <c r="I119" s="11"/>
      <c r="J119" s="12"/>
      <c r="K119" s="11"/>
      <c r="L119" s="11"/>
      <c r="M119" s="11"/>
      <c r="N119" s="11"/>
      <c r="O119" s="131">
        <v>4249</v>
      </c>
    </row>
    <row r="120" spans="2:15">
      <c r="O120" s="120"/>
    </row>
    <row r="121" spans="2:15" ht="17" thickBot="1">
      <c r="B121" s="157" t="s">
        <v>298</v>
      </c>
      <c r="C121" s="157"/>
      <c r="D121" s="158"/>
      <c r="E121" s="157"/>
      <c r="F121" s="157"/>
      <c r="G121" s="157"/>
      <c r="H121" s="157"/>
      <c r="I121" s="157"/>
      <c r="J121" s="158"/>
      <c r="K121" s="157"/>
      <c r="L121" s="157"/>
      <c r="M121" s="157"/>
      <c r="N121" s="157"/>
      <c r="O121" s="159">
        <f ca="1">O118/O119</f>
        <v>72.77314631328862</v>
      </c>
    </row>
    <row r="122" spans="2:15" ht="17" thickTop="1"/>
  </sheetData>
  <dataValidations count="1">
    <dataValidation type="list" allowBlank="1" showInputMessage="1" showErrorMessage="1" sqref="C16" xr:uid="{ECD3D798-5709-3345-827A-93C321DE0EB6}">
      <formula1>"1,2,3"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EEAB-A485-4646-9205-2ADADC554A1F}">
  <dimension ref="A2:J31"/>
  <sheetViews>
    <sheetView showGridLines="0" topLeftCell="A3" zoomScale="230" zoomScaleNormal="230" workbookViewId="0">
      <selection activeCell="E12" sqref="E12"/>
    </sheetView>
  </sheetViews>
  <sheetFormatPr baseColWidth="10" defaultRowHeight="16"/>
  <cols>
    <col min="1" max="1" width="2.83203125" customWidth="1"/>
  </cols>
  <sheetData>
    <row r="2" spans="1:6" s="11" customFormat="1" ht="27">
      <c r="A2" s="121"/>
      <c r="B2" s="121" t="s">
        <v>300</v>
      </c>
    </row>
    <row r="4" spans="1:6">
      <c r="A4" t="s">
        <v>155</v>
      </c>
      <c r="B4" s="87" t="s">
        <v>301</v>
      </c>
      <c r="C4" s="119" t="s">
        <v>302</v>
      </c>
      <c r="F4" t="s">
        <v>313</v>
      </c>
    </row>
    <row r="6" spans="1:6">
      <c r="B6" t="s">
        <v>303</v>
      </c>
      <c r="E6" s="16">
        <f>(Rf+B_eq*MRP)</f>
        <v>8.578595238763996E-2</v>
      </c>
    </row>
    <row r="7" spans="1:6">
      <c r="B7" t="s">
        <v>310</v>
      </c>
      <c r="E7" s="195">
        <f>D31</f>
        <v>0.86964018806367616</v>
      </c>
    </row>
    <row r="8" spans="1:6">
      <c r="B8" t="s">
        <v>311</v>
      </c>
      <c r="E8" s="125">
        <v>4.7E-2</v>
      </c>
    </row>
    <row r="9" spans="1:6">
      <c r="B9" t="s">
        <v>312</v>
      </c>
      <c r="E9" s="123">
        <v>4.4600000000000001E-2</v>
      </c>
    </row>
    <row r="11" spans="1:6">
      <c r="B11" t="s">
        <v>304</v>
      </c>
      <c r="E11" s="124">
        <v>331410</v>
      </c>
    </row>
    <row r="12" spans="1:6">
      <c r="B12" t="s">
        <v>305</v>
      </c>
      <c r="E12" s="124">
        <v>15363</v>
      </c>
    </row>
    <row r="13" spans="1:6">
      <c r="B13" t="s">
        <v>306</v>
      </c>
      <c r="E13" s="16">
        <f>E/(D+E)</f>
        <v>0.95569724286492896</v>
      </c>
    </row>
    <row r="14" spans="1:6">
      <c r="B14" t="s">
        <v>307</v>
      </c>
      <c r="E14" s="1">
        <f>D/(D+E)</f>
        <v>4.4302757135071071E-2</v>
      </c>
    </row>
    <row r="16" spans="1:6">
      <c r="B16" t="s">
        <v>308</v>
      </c>
      <c r="E16" s="1">
        <f>437762/14462000</f>
        <v>3.0269810537961555E-2</v>
      </c>
    </row>
    <row r="17" spans="2:10">
      <c r="B17" t="s">
        <v>309</v>
      </c>
      <c r="E17" s="122">
        <f>1-('DCF '!J41)</f>
        <v>0.87025858856844773</v>
      </c>
    </row>
    <row r="19" spans="2:10" ht="17" thickBot="1">
      <c r="B19" s="126" t="s">
        <v>262</v>
      </c>
      <c r="C19" s="126"/>
      <c r="D19" s="126"/>
      <c r="E19" s="127">
        <f>Re*equity_ratio+Rd*tax_shield*debt_ratio</f>
        <v>8.315244632637131E-2</v>
      </c>
    </row>
    <row r="20" spans="2:10" ht="17" thickTop="1">
      <c r="J20" s="182" t="s">
        <v>329</v>
      </c>
    </row>
    <row r="22" spans="2:10">
      <c r="B22" s="183" t="s">
        <v>330</v>
      </c>
      <c r="C22" s="184"/>
      <c r="D22" s="184"/>
      <c r="E22" s="184"/>
      <c r="F22" s="184"/>
      <c r="G22" s="184"/>
      <c r="H22" s="185"/>
    </row>
    <row r="23" spans="2:10">
      <c r="B23" s="151"/>
      <c r="H23" s="10"/>
    </row>
    <row r="24" spans="2:10">
      <c r="B24" s="186" t="s">
        <v>331</v>
      </c>
      <c r="C24" s="187"/>
      <c r="D24" s="187" t="s">
        <v>332</v>
      </c>
      <c r="E24" s="187" t="s">
        <v>333</v>
      </c>
      <c r="F24" s="187" t="s">
        <v>334</v>
      </c>
      <c r="G24" s="187" t="s">
        <v>335</v>
      </c>
      <c r="H24" s="188" t="s">
        <v>336</v>
      </c>
    </row>
    <row r="25" spans="2:10">
      <c r="B25" s="151" t="s">
        <v>340</v>
      </c>
      <c r="D25" s="120">
        <v>1.39</v>
      </c>
      <c r="E25" s="189">
        <v>187130</v>
      </c>
      <c r="F25" s="189">
        <f>38166+7257-5695</f>
        <v>39728</v>
      </c>
      <c r="G25" s="194">
        <f>-11.9%</f>
        <v>-0.11900000000000001</v>
      </c>
      <c r="H25" s="190">
        <f>D25/(1+(1-G25)*(F25/E25))</f>
        <v>1.1231728745589882</v>
      </c>
    </row>
    <row r="26" spans="2:10">
      <c r="B26" s="151" t="s">
        <v>341</v>
      </c>
      <c r="D26">
        <v>1.57</v>
      </c>
      <c r="E26" s="189">
        <v>71579</v>
      </c>
      <c r="F26" s="189">
        <f>32845-4570</f>
        <v>28275</v>
      </c>
      <c r="G26" s="22">
        <v>0.21</v>
      </c>
      <c r="H26" s="190">
        <f>D26/(1+(1-G26)*(F26/E26))</f>
        <v>1.1965877044707387</v>
      </c>
    </row>
    <row r="27" spans="2:10">
      <c r="B27" s="151" t="s">
        <v>342</v>
      </c>
      <c r="D27">
        <v>1.47</v>
      </c>
      <c r="E27" s="189">
        <v>11583</v>
      </c>
      <c r="F27" s="189">
        <f>13225+433-3274</f>
        <v>10384</v>
      </c>
      <c r="G27" s="93">
        <f>AVERAGE(1%,1.2%,0.3%,2.7%)</f>
        <v>1.3000000000000001E-2</v>
      </c>
      <c r="H27" s="190">
        <f>D27/(1+(1-G27)*(F27/E27))</f>
        <v>0.77991039578219279</v>
      </c>
    </row>
    <row r="28" spans="2:10">
      <c r="B28" s="154" t="s">
        <v>343</v>
      </c>
      <c r="C28" s="11"/>
      <c r="D28" s="11">
        <v>0.65</v>
      </c>
      <c r="E28" s="191">
        <v>95281</v>
      </c>
      <c r="F28" s="191">
        <f>92979+5958-9481</f>
        <v>89456</v>
      </c>
      <c r="G28" s="192">
        <v>0.23699999999999999</v>
      </c>
      <c r="H28" s="193">
        <f>D28/(1+(1-G28)*(F28/E28))</f>
        <v>0.37870974749964426</v>
      </c>
    </row>
    <row r="30" spans="2:10">
      <c r="B30" t="s">
        <v>337</v>
      </c>
      <c r="D30" s="120">
        <f>AVERAGE(H25:H28)</f>
        <v>0.86959518057789098</v>
      </c>
    </row>
    <row r="31" spans="2:10">
      <c r="B31" t="s">
        <v>339</v>
      </c>
      <c r="D31" s="120">
        <f>D30*(1+(1-16.8%)*(E13/E12))</f>
        <v>0.86964018806367616</v>
      </c>
      <c r="J31" t="s">
        <v>338</v>
      </c>
    </row>
  </sheetData>
  <pageMargins left="0.7" right="0.7" top="0.75" bottom="0.75" header="0.3" footer="0.3"/>
  <ignoredErrors>
    <ignoredError sqref="D30" evalError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C28-3E14-414C-AF78-FE065C63F07E}">
  <dimension ref="A1:FL189"/>
  <sheetViews>
    <sheetView workbookViewId="0">
      <selection activeCell="A6" sqref="A6"/>
    </sheetView>
  </sheetViews>
  <sheetFormatPr baseColWidth="10" defaultRowHeight="16"/>
  <cols>
    <col min="1" max="1" width="48.6640625" bestFit="1" customWidth="1"/>
    <col min="2" max="4" width="7.1640625" bestFit="1" customWidth="1"/>
    <col min="5" max="5" width="7.83203125" bestFit="1" customWidth="1"/>
    <col min="6" max="6" width="6.6640625" bestFit="1" customWidth="1"/>
  </cols>
  <sheetData>
    <row r="1" spans="1:59">
      <c r="A1" s="5" t="s">
        <v>2</v>
      </c>
      <c r="B1" s="5">
        <v>2025</v>
      </c>
      <c r="C1" s="5">
        <v>2024</v>
      </c>
      <c r="D1" s="5">
        <v>2023</v>
      </c>
      <c r="E1" s="5">
        <v>2022</v>
      </c>
      <c r="F1" s="5">
        <v>2021</v>
      </c>
      <c r="I1" s="5"/>
      <c r="X1" s="196"/>
      <c r="Y1" s="196"/>
      <c r="AA1" s="196"/>
      <c r="AB1" s="196"/>
      <c r="AE1" s="196"/>
      <c r="AF1" s="196"/>
      <c r="AK1" s="196"/>
      <c r="AL1" s="196"/>
      <c r="AM1" s="196"/>
      <c r="AN1" s="196"/>
      <c r="AQ1" s="196"/>
      <c r="AR1" s="196"/>
      <c r="AW1" s="196"/>
      <c r="AX1" s="196"/>
      <c r="BA1" s="196"/>
      <c r="BB1" s="196"/>
    </row>
    <row r="2" spans="1:59">
      <c r="A2" t="s">
        <v>4</v>
      </c>
      <c r="B2" s="3">
        <v>45274</v>
      </c>
      <c r="C2" s="3">
        <v>38877</v>
      </c>
      <c r="D2" s="3">
        <v>33723</v>
      </c>
      <c r="E2" s="3">
        <v>31616</v>
      </c>
      <c r="F2" s="3">
        <v>29698</v>
      </c>
      <c r="G2" s="6"/>
      <c r="H2" s="3"/>
      <c r="I2" s="5"/>
      <c r="J2" s="3"/>
      <c r="K2" s="6"/>
      <c r="L2" s="3"/>
      <c r="M2" s="3"/>
      <c r="N2" s="3"/>
      <c r="O2" s="6"/>
      <c r="P2" s="3"/>
      <c r="Q2" s="6"/>
      <c r="R2" s="6"/>
      <c r="S2" s="3"/>
      <c r="T2" s="3"/>
      <c r="U2" s="3"/>
      <c r="V2" s="6"/>
      <c r="W2" s="3"/>
      <c r="X2" s="196"/>
      <c r="Y2" s="196"/>
      <c r="AA2" s="197"/>
      <c r="AB2" s="197"/>
      <c r="AD2" s="3"/>
      <c r="AE2" s="197"/>
      <c r="AF2" s="197"/>
      <c r="AG2" s="6"/>
      <c r="AH2" s="3"/>
      <c r="AI2" s="3"/>
      <c r="AK2" s="196"/>
      <c r="AL2" s="196"/>
      <c r="AM2" s="196"/>
      <c r="AN2" s="196"/>
      <c r="AO2" s="3"/>
      <c r="AP2" s="3"/>
      <c r="AQ2" s="197"/>
      <c r="AR2" s="197"/>
      <c r="AS2" s="6"/>
      <c r="AT2" s="3"/>
      <c r="AU2" s="3"/>
      <c r="AW2" s="197"/>
      <c r="AX2" s="197"/>
      <c r="AY2" s="3"/>
      <c r="BA2" s="197"/>
      <c r="BB2" s="197"/>
      <c r="BC2" s="3"/>
      <c r="BD2" s="3"/>
      <c r="BE2" s="6"/>
      <c r="BF2" s="6"/>
      <c r="BG2" s="3"/>
    </row>
    <row r="3" spans="1:59">
      <c r="A3" t="s">
        <v>5</v>
      </c>
      <c r="B3" s="6">
        <v>0.1646</v>
      </c>
      <c r="C3" s="6">
        <v>0.15279999999999999</v>
      </c>
      <c r="D3" s="6">
        <v>6.6699999999999995E-2</v>
      </c>
      <c r="E3" s="6">
        <v>6.4600000000000005E-2</v>
      </c>
      <c r="F3" t="s">
        <v>6</v>
      </c>
      <c r="G3" s="6"/>
      <c r="H3" s="3"/>
      <c r="I3" s="5"/>
      <c r="J3" s="3"/>
      <c r="K3" s="6"/>
      <c r="L3" s="3"/>
      <c r="M3" s="3"/>
      <c r="N3" s="3"/>
      <c r="O3" s="6"/>
      <c r="P3" s="3"/>
      <c r="Q3" s="6"/>
      <c r="S3" s="3"/>
      <c r="T3" s="3"/>
      <c r="U3" s="3"/>
      <c r="V3" s="6"/>
      <c r="W3" s="3"/>
      <c r="X3" s="196"/>
      <c r="Y3" s="196"/>
      <c r="AA3" s="197"/>
      <c r="AB3" s="197"/>
      <c r="AD3" s="3"/>
      <c r="AE3" s="197"/>
      <c r="AF3" s="197"/>
      <c r="AH3" s="3"/>
      <c r="AI3" s="3"/>
      <c r="AK3" s="196"/>
      <c r="AL3" s="196"/>
      <c r="AM3" s="196"/>
      <c r="AN3" s="196"/>
      <c r="AO3" s="3"/>
      <c r="AP3" s="3"/>
      <c r="AQ3" s="197"/>
      <c r="AR3" s="197"/>
      <c r="AT3" s="3"/>
      <c r="AU3" s="3"/>
      <c r="AW3" s="197"/>
      <c r="AX3" s="197"/>
      <c r="AY3" s="3"/>
      <c r="BA3" s="197"/>
      <c r="BB3" s="197"/>
      <c r="BC3" s="3"/>
      <c r="BD3" s="3"/>
      <c r="BE3" s="6"/>
      <c r="BG3" s="3"/>
    </row>
    <row r="4" spans="1:59">
      <c r="A4" t="s">
        <v>7</v>
      </c>
      <c r="B4" s="3">
        <v>23274</v>
      </c>
      <c r="C4" s="3">
        <v>21040</v>
      </c>
      <c r="D4" s="3">
        <v>19715</v>
      </c>
      <c r="E4" s="3">
        <v>19168</v>
      </c>
      <c r="F4" s="3">
        <v>17333</v>
      </c>
      <c r="G4" s="6"/>
      <c r="H4" s="3"/>
      <c r="I4" s="5"/>
      <c r="J4" s="3"/>
      <c r="K4" s="6"/>
      <c r="L4" s="3"/>
      <c r="M4" s="3"/>
      <c r="N4" s="3"/>
      <c r="O4" s="6"/>
      <c r="P4" s="3"/>
      <c r="Q4" s="6"/>
      <c r="S4" s="3"/>
      <c r="T4" s="3"/>
      <c r="U4" s="3"/>
      <c r="V4" s="6"/>
      <c r="W4" s="3"/>
      <c r="X4" s="196"/>
      <c r="Y4" s="196"/>
      <c r="AA4" s="197"/>
      <c r="AB4" s="197"/>
      <c r="AD4" s="3"/>
      <c r="AE4" s="197"/>
      <c r="AF4" s="197"/>
      <c r="AI4" s="3"/>
      <c r="AK4" s="196"/>
      <c r="AL4" s="196"/>
      <c r="AM4" s="196"/>
      <c r="AN4" s="196"/>
      <c r="AO4" s="3"/>
      <c r="AP4" s="3"/>
      <c r="AQ4" s="197"/>
      <c r="AR4" s="197"/>
      <c r="AT4" s="3"/>
      <c r="AU4" s="3"/>
      <c r="AW4" s="197"/>
      <c r="AX4" s="197"/>
      <c r="AY4" s="3"/>
      <c r="BA4" s="197"/>
      <c r="BB4" s="197"/>
      <c r="BC4" s="3"/>
      <c r="BD4" s="3"/>
      <c r="BE4" s="6"/>
      <c r="BG4" s="3"/>
    </row>
    <row r="5" spans="1:59">
      <c r="A5" t="s">
        <v>8</v>
      </c>
      <c r="B5" s="3">
        <v>6518</v>
      </c>
      <c r="C5" s="3">
        <v>5410</v>
      </c>
      <c r="D5" s="3">
        <v>5161</v>
      </c>
      <c r="E5" s="3">
        <v>4805</v>
      </c>
      <c r="F5" s="3">
        <v>4894</v>
      </c>
      <c r="G5" s="6"/>
      <c r="H5" s="3"/>
      <c r="I5" s="5"/>
      <c r="J5" s="3"/>
      <c r="K5" s="6"/>
      <c r="L5" s="3"/>
      <c r="M5" s="3"/>
      <c r="N5" s="3"/>
      <c r="O5" s="6"/>
      <c r="P5" s="3"/>
      <c r="Q5" s="6"/>
      <c r="S5" s="3"/>
      <c r="T5" s="3"/>
      <c r="U5" s="3"/>
      <c r="V5" s="6"/>
      <c r="W5" s="3"/>
      <c r="X5" s="196"/>
      <c r="Y5" s="196"/>
      <c r="AA5" s="197"/>
      <c r="AB5" s="197"/>
      <c r="AD5" s="3"/>
      <c r="AE5" s="197"/>
      <c r="AF5" s="197"/>
      <c r="AK5" s="196"/>
      <c r="AL5" s="196"/>
      <c r="AM5" s="196"/>
      <c r="AN5" s="196"/>
      <c r="AO5" s="3"/>
      <c r="AP5" s="3"/>
      <c r="AQ5" s="197"/>
      <c r="AR5" s="197"/>
      <c r="AT5" s="3"/>
      <c r="AU5" s="3"/>
      <c r="AW5" s="197"/>
      <c r="AX5" s="197"/>
      <c r="AY5" s="3"/>
      <c r="BA5" s="197"/>
      <c r="BB5" s="197"/>
      <c r="BC5" s="3"/>
      <c r="BD5" s="3"/>
      <c r="BE5" s="6"/>
      <c r="BG5" s="3"/>
    </row>
    <row r="6" spans="1:59">
      <c r="A6" t="s">
        <v>9</v>
      </c>
      <c r="B6" s="3">
        <v>16756</v>
      </c>
      <c r="C6" s="3">
        <v>15630</v>
      </c>
      <c r="D6" s="3">
        <v>14554</v>
      </c>
      <c r="E6" s="3">
        <v>14363</v>
      </c>
      <c r="F6" s="3">
        <v>12439</v>
      </c>
      <c r="H6" s="3"/>
      <c r="I6" s="5"/>
      <c r="J6" s="3"/>
      <c r="L6" s="3"/>
      <c r="M6" s="3"/>
      <c r="N6" s="3"/>
      <c r="P6" s="3"/>
      <c r="S6" s="3"/>
      <c r="T6" s="3"/>
      <c r="U6" s="3"/>
      <c r="W6" s="3"/>
      <c r="X6" s="196"/>
      <c r="Y6" s="196"/>
      <c r="AA6" s="196"/>
      <c r="AB6" s="196"/>
      <c r="AD6" s="3"/>
      <c r="AE6" s="196"/>
      <c r="AF6" s="196"/>
      <c r="AK6" s="196"/>
      <c r="AL6" s="196"/>
      <c r="AM6" s="196"/>
      <c r="AN6" s="196"/>
      <c r="AO6" s="3"/>
      <c r="AP6" s="3"/>
      <c r="AQ6" s="196"/>
      <c r="AR6" s="196"/>
      <c r="AT6" s="3"/>
      <c r="AU6" s="3"/>
      <c r="AW6" s="196"/>
      <c r="AX6" s="196"/>
      <c r="AY6" s="3"/>
      <c r="BA6" s="196"/>
      <c r="BB6" s="196"/>
      <c r="BC6" s="3"/>
      <c r="BD6" s="3"/>
      <c r="BG6" s="3"/>
    </row>
    <row r="7" spans="1:59">
      <c r="A7" t="s">
        <v>10</v>
      </c>
      <c r="B7" s="6">
        <v>0.1062</v>
      </c>
      <c r="C7" s="6">
        <v>6.7199999999999996E-2</v>
      </c>
      <c r="D7" s="6">
        <v>2.8500000000000001E-2</v>
      </c>
      <c r="E7" s="6">
        <v>0.10589999999999999</v>
      </c>
      <c r="F7" t="s">
        <v>6</v>
      </c>
    </row>
    <row r="8" spans="1:59">
      <c r="A8" t="s">
        <v>11</v>
      </c>
      <c r="B8" s="3">
        <v>22000</v>
      </c>
      <c r="C8" s="3">
        <v>17837</v>
      </c>
      <c r="D8" s="3">
        <v>14008</v>
      </c>
      <c r="E8" s="3">
        <v>12447</v>
      </c>
      <c r="F8" s="3">
        <v>12365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59">
      <c r="A9" t="s">
        <v>12</v>
      </c>
      <c r="B9" s="6">
        <v>0.2334</v>
      </c>
      <c r="C9" s="6">
        <v>0.27329999999999999</v>
      </c>
      <c r="D9" s="6">
        <v>0.12540000000000001</v>
      </c>
      <c r="E9" s="6">
        <v>6.6E-3</v>
      </c>
      <c r="F9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59">
      <c r="A10" t="s">
        <v>13</v>
      </c>
      <c r="B10" s="6">
        <v>0.4859</v>
      </c>
      <c r="C10" t="s">
        <v>6</v>
      </c>
      <c r="D10" t="s">
        <v>6</v>
      </c>
      <c r="E10" t="s">
        <v>6</v>
      </c>
      <c r="F10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59">
      <c r="A11" t="s">
        <v>14</v>
      </c>
      <c r="B11" s="3">
        <v>8581</v>
      </c>
      <c r="C11" s="3">
        <v>7545</v>
      </c>
      <c r="D11" s="3">
        <v>7054</v>
      </c>
      <c r="E11" s="3">
        <v>6814</v>
      </c>
      <c r="F11" s="3">
        <v>6171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59">
      <c r="A12" t="s">
        <v>15</v>
      </c>
      <c r="B12" s="3">
        <v>3391</v>
      </c>
      <c r="C12" s="3">
        <v>2925</v>
      </c>
      <c r="D12" s="3">
        <v>2676</v>
      </c>
      <c r="E12" s="3">
        <v>2711</v>
      </c>
      <c r="F12" s="3">
        <v>2274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59">
      <c r="A13" t="s">
        <v>16</v>
      </c>
      <c r="B13" s="3">
        <v>5190</v>
      </c>
      <c r="C13" s="3">
        <v>4620</v>
      </c>
      <c r="D13" s="3">
        <v>4378</v>
      </c>
      <c r="E13" s="3">
        <v>4103</v>
      </c>
      <c r="F13" s="3">
        <v>3897</v>
      </c>
    </row>
    <row r="14" spans="1:59">
      <c r="A14" t="s">
        <v>17</v>
      </c>
      <c r="B14" s="6">
        <v>0.13730000000000001</v>
      </c>
      <c r="C14" s="6">
        <v>6.9599999999999995E-2</v>
      </c>
      <c r="D14" s="6">
        <v>3.5099999999999999E-2</v>
      </c>
      <c r="E14" s="6">
        <v>0.1043</v>
      </c>
      <c r="F14" t="s">
        <v>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59">
      <c r="A15" t="s">
        <v>0</v>
      </c>
      <c r="B15" s="3">
        <v>13419</v>
      </c>
      <c r="C15" s="3">
        <v>10292</v>
      </c>
      <c r="D15" s="3">
        <v>6954</v>
      </c>
      <c r="E15" s="3">
        <v>5633</v>
      </c>
      <c r="F15" s="3">
        <v>6195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59">
      <c r="A16" s="196" t="s">
        <v>18</v>
      </c>
      <c r="B16" s="196">
        <v>80</v>
      </c>
      <c r="C16" s="196">
        <v>392</v>
      </c>
      <c r="D16" s="196">
        <v>-49</v>
      </c>
      <c r="E16" s="196">
        <v>337</v>
      </c>
      <c r="F16" s="196">
        <v>411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196"/>
      <c r="B17" s="196"/>
      <c r="C17" s="196"/>
      <c r="D17" s="196"/>
      <c r="E17" s="196"/>
      <c r="F17" s="19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t="s">
        <v>19</v>
      </c>
      <c r="B18">
        <v>777</v>
      </c>
      <c r="C18">
        <v>719</v>
      </c>
      <c r="D18">
        <v>700</v>
      </c>
      <c r="E18">
        <v>706</v>
      </c>
      <c r="F18">
        <v>766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196" t="s">
        <v>20</v>
      </c>
      <c r="B19" s="197">
        <v>8.0399999999999999E-2</v>
      </c>
      <c r="C19" s="197">
        <v>2.7E-2</v>
      </c>
      <c r="D19" s="197">
        <v>-8.9999999999999993E-3</v>
      </c>
      <c r="E19" s="197">
        <v>-7.7600000000000002E-2</v>
      </c>
      <c r="F19" s="196" t="s">
        <v>6</v>
      </c>
    </row>
    <row r="20" spans="1:20">
      <c r="A20" s="196"/>
      <c r="B20" s="197"/>
      <c r="C20" s="197"/>
      <c r="D20" s="197"/>
      <c r="E20" s="197"/>
      <c r="F20" s="19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t="s">
        <v>21</v>
      </c>
      <c r="B21">
        <v>777</v>
      </c>
      <c r="C21">
        <v>719</v>
      </c>
      <c r="D21">
        <v>700</v>
      </c>
      <c r="E21">
        <v>706</v>
      </c>
      <c r="F21">
        <v>766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t="s">
        <v>22</v>
      </c>
      <c r="B22" s="3">
        <v>12723</v>
      </c>
      <c r="C22" s="3">
        <v>9966</v>
      </c>
      <c r="D22" s="3">
        <v>6205</v>
      </c>
      <c r="E22" s="3">
        <v>5264</v>
      </c>
      <c r="F22" s="3">
        <v>5840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196" t="s">
        <v>23</v>
      </c>
      <c r="B23" s="197">
        <v>0.27660000000000001</v>
      </c>
      <c r="C23" s="197">
        <v>0.60599999999999998</v>
      </c>
      <c r="D23" s="197">
        <v>0.1789</v>
      </c>
      <c r="E23" s="197">
        <v>-9.8699999999999996E-2</v>
      </c>
      <c r="F23" s="196" t="s">
        <v>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196"/>
      <c r="B24" s="197"/>
      <c r="C24" s="197"/>
      <c r="D24" s="197"/>
      <c r="E24" s="197"/>
      <c r="F24" s="19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t="s">
        <v>24</v>
      </c>
      <c r="B25" s="6">
        <v>0.28100000000000003</v>
      </c>
      <c r="C25" t="s">
        <v>6</v>
      </c>
      <c r="D25" t="s">
        <v>6</v>
      </c>
      <c r="E25" t="s">
        <v>6</v>
      </c>
      <c r="F25" t="s">
        <v>6</v>
      </c>
    </row>
    <row r="26" spans="1:20">
      <c r="A26" t="s">
        <v>25</v>
      </c>
      <c r="B26" s="3">
        <v>1741</v>
      </c>
      <c r="C26" s="3">
        <v>1254</v>
      </c>
      <c r="D26">
        <v>797</v>
      </c>
      <c r="E26">
        <v>772</v>
      </c>
      <c r="F26">
        <v>724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t="s">
        <v>26</v>
      </c>
      <c r="B27" s="3">
        <v>1629</v>
      </c>
      <c r="C27" s="3">
        <v>1308</v>
      </c>
      <c r="D27" s="3">
        <v>1036</v>
      </c>
      <c r="E27">
        <v>230</v>
      </c>
      <c r="F27">
        <v>167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t="s">
        <v>27</v>
      </c>
      <c r="B28">
        <v>562</v>
      </c>
      <c r="C28">
        <v>537</v>
      </c>
      <c r="D28">
        <v>305</v>
      </c>
      <c r="E28">
        <v>677</v>
      </c>
      <c r="F28">
        <v>357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196" t="s">
        <v>28</v>
      </c>
      <c r="B29" s="196">
        <v>-190</v>
      </c>
      <c r="C29" s="196">
        <v>-562</v>
      </c>
      <c r="D29" s="196">
        <v>-468</v>
      </c>
      <c r="E29" s="196">
        <v>-83</v>
      </c>
      <c r="F29" s="196">
        <v>186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196"/>
      <c r="B30" s="196"/>
      <c r="C30" s="196"/>
      <c r="D30" s="196"/>
      <c r="E30" s="196"/>
      <c r="F30" s="19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196" t="s">
        <v>29</v>
      </c>
      <c r="B31" s="196">
        <v>-260</v>
      </c>
      <c r="C31" s="196">
        <v>-29</v>
      </c>
      <c r="D31" s="196">
        <v>-75</v>
      </c>
      <c r="E31" s="196">
        <v>-51</v>
      </c>
      <c r="F31" s="196">
        <v>13</v>
      </c>
    </row>
    <row r="32" spans="1:20">
      <c r="A32" s="196"/>
      <c r="B32" s="196"/>
      <c r="C32" s="196"/>
      <c r="D32" s="196"/>
      <c r="E32" s="196"/>
      <c r="F32" s="19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t="s">
        <v>30</v>
      </c>
      <c r="B33" s="3">
        <v>10981</v>
      </c>
      <c r="C33" s="3">
        <v>8712</v>
      </c>
      <c r="D33" s="3">
        <v>5408</v>
      </c>
      <c r="E33" s="3">
        <v>4492</v>
      </c>
      <c r="F33" s="3">
        <v>5116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t="s">
        <v>31</v>
      </c>
      <c r="B34" s="3">
        <v>10981</v>
      </c>
      <c r="C34" s="3">
        <v>8712</v>
      </c>
      <c r="D34" s="3">
        <v>5408</v>
      </c>
      <c r="E34" s="3">
        <v>4492</v>
      </c>
      <c r="F34" s="3">
        <v>5116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196" t="s">
        <v>32</v>
      </c>
      <c r="B35" s="197">
        <v>0.26050000000000001</v>
      </c>
      <c r="C35" s="197">
        <v>0.6109</v>
      </c>
      <c r="D35" s="197">
        <v>0.2039</v>
      </c>
      <c r="E35" s="197">
        <v>-0.122</v>
      </c>
      <c r="F35" s="196" t="s">
        <v>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196"/>
      <c r="B36" s="197"/>
      <c r="C36" s="197"/>
      <c r="D36" s="197"/>
      <c r="E36" s="197"/>
      <c r="F36" s="19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t="s">
        <v>33</v>
      </c>
      <c r="B37" s="6">
        <v>0.24249999999999999</v>
      </c>
      <c r="C37" t="s">
        <v>6</v>
      </c>
      <c r="D37" t="s">
        <v>6</v>
      </c>
      <c r="E37" t="s">
        <v>6</v>
      </c>
      <c r="F37" t="s">
        <v>6</v>
      </c>
    </row>
    <row r="38" spans="1:20">
      <c r="A38" t="s">
        <v>34</v>
      </c>
      <c r="B38" s="3">
        <v>10981</v>
      </c>
      <c r="C38" s="3">
        <v>8712</v>
      </c>
      <c r="D38" s="3">
        <v>5408</v>
      </c>
      <c r="E38" s="3">
        <v>4492</v>
      </c>
      <c r="F38" s="3">
        <v>5116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t="s">
        <v>35</v>
      </c>
      <c r="B39" s="3">
        <v>10981</v>
      </c>
      <c r="C39" s="3">
        <v>8712</v>
      </c>
      <c r="D39" s="3">
        <v>5408</v>
      </c>
      <c r="E39" s="3">
        <v>4492</v>
      </c>
      <c r="F39" s="3">
        <v>5116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t="s">
        <v>36</v>
      </c>
      <c r="B40">
        <v>2.5299999999999998</v>
      </c>
      <c r="C40">
        <v>1.98</v>
      </c>
      <c r="D40">
        <v>1.2</v>
      </c>
      <c r="E40">
        <v>1</v>
      </c>
      <c r="F40">
        <v>1.1200000000000001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196" t="s">
        <v>37</v>
      </c>
      <c r="B41" s="197">
        <v>0.2747</v>
      </c>
      <c r="C41" s="197">
        <v>0.64839999999999998</v>
      </c>
      <c r="D41" s="197">
        <v>0.2087</v>
      </c>
      <c r="E41" s="197">
        <v>-0.114</v>
      </c>
      <c r="F41" s="196" t="s">
        <v>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196"/>
      <c r="B42" s="197"/>
      <c r="C42" s="197"/>
      <c r="D42" s="197"/>
      <c r="E42" s="197"/>
      <c r="F42" s="19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t="s">
        <v>38</v>
      </c>
      <c r="B43" s="3">
        <v>4250</v>
      </c>
      <c r="C43" s="3">
        <v>4295</v>
      </c>
      <c r="D43" s="3">
        <v>4416</v>
      </c>
      <c r="E43" s="3">
        <v>4447</v>
      </c>
      <c r="F43" s="3">
        <v>4432</v>
      </c>
    </row>
    <row r="44" spans="1:20">
      <c r="A44" t="s">
        <v>39</v>
      </c>
      <c r="B44">
        <v>2.5299999999999998</v>
      </c>
      <c r="C44">
        <v>1.98</v>
      </c>
      <c r="D44">
        <v>1.2</v>
      </c>
      <c r="E44">
        <v>1</v>
      </c>
      <c r="F44">
        <v>1.1200000000000001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196" t="s">
        <v>40</v>
      </c>
      <c r="B45" s="197">
        <v>0.2747</v>
      </c>
      <c r="C45" s="197">
        <v>0.64839999999999998</v>
      </c>
      <c r="D45" s="197">
        <v>0.2087</v>
      </c>
      <c r="E45" s="197">
        <v>-0.11409999999999999</v>
      </c>
      <c r="F45" s="196" t="s">
        <v>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196"/>
      <c r="B46" s="197"/>
      <c r="C46" s="197"/>
      <c r="D46" s="197"/>
      <c r="E46" s="197"/>
      <c r="F46" s="19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t="s">
        <v>41</v>
      </c>
      <c r="B47" s="3">
        <v>4344</v>
      </c>
      <c r="C47" s="3">
        <v>4393</v>
      </c>
      <c r="D47" s="3">
        <v>4495</v>
      </c>
      <c r="E47" s="3">
        <v>4513</v>
      </c>
      <c r="F47" s="3">
        <v>4554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t="s">
        <v>1</v>
      </c>
      <c r="B48" s="3">
        <v>30175</v>
      </c>
      <c r="C48" s="3">
        <v>25922</v>
      </c>
      <c r="D48" s="3">
        <v>21508</v>
      </c>
      <c r="E48" s="3">
        <v>19996</v>
      </c>
      <c r="F48" s="3">
        <v>18633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t="s">
        <v>42</v>
      </c>
      <c r="B49" s="6">
        <v>0.16400000000000001</v>
      </c>
      <c r="C49" s="6">
        <v>0.20519999999999999</v>
      </c>
      <c r="D49" s="6">
        <v>7.5700000000000003E-2</v>
      </c>
      <c r="E49" s="6">
        <v>7.3099999999999998E-2</v>
      </c>
      <c r="F49" t="s">
        <v>6</v>
      </c>
      <c r="H49" s="3"/>
    </row>
    <row r="50" spans="1:20">
      <c r="A50" t="s">
        <v>43</v>
      </c>
      <c r="B50" s="6">
        <v>0.66649999999999998</v>
      </c>
      <c r="C50" t="s">
        <v>6</v>
      </c>
      <c r="D50" t="s">
        <v>6</v>
      </c>
      <c r="E50" t="s">
        <v>6</v>
      </c>
      <c r="F50" t="s">
        <v>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t="s">
        <v>0</v>
      </c>
      <c r="B51" s="3">
        <v>13419</v>
      </c>
      <c r="C51" s="3">
        <v>10292</v>
      </c>
      <c r="D51" s="3">
        <v>6954</v>
      </c>
      <c r="E51" s="3">
        <v>5633</v>
      </c>
      <c r="F51" s="3">
        <v>6195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5"/>
      <c r="B127" s="5"/>
      <c r="C127" s="5"/>
      <c r="D127" s="5"/>
      <c r="E127" s="5"/>
      <c r="F127" s="5"/>
      <c r="G127" s="198"/>
      <c r="H127" s="198"/>
      <c r="I127" s="198"/>
      <c r="J127" s="198"/>
      <c r="K127" s="198"/>
    </row>
    <row r="128" spans="1:20">
      <c r="B128" s="3"/>
      <c r="C128" s="3"/>
      <c r="D128" s="3"/>
      <c r="E128" s="3"/>
      <c r="F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B129" s="6"/>
      <c r="C129" s="6"/>
      <c r="D129" s="6"/>
      <c r="E129" s="6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B130" s="3"/>
      <c r="C130" s="3"/>
      <c r="D130" s="3"/>
      <c r="E130" s="3"/>
      <c r="F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B131" s="3"/>
      <c r="C131" s="3"/>
      <c r="D131" s="3"/>
      <c r="E131" s="3"/>
      <c r="F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B132" s="3"/>
      <c r="C132" s="3"/>
      <c r="D132" s="3"/>
      <c r="E132" s="3"/>
      <c r="F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B133" s="6"/>
      <c r="C133" s="6"/>
      <c r="D133" s="6"/>
      <c r="E133" s="6"/>
    </row>
    <row r="134" spans="1:20">
      <c r="B134" s="3"/>
      <c r="C134" s="3"/>
      <c r="D134" s="3"/>
      <c r="E134" s="3"/>
      <c r="F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B135" s="6"/>
      <c r="C135" s="6"/>
      <c r="D135" s="6"/>
      <c r="E135" s="6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B136" s="6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B137" s="3"/>
      <c r="C137" s="3"/>
      <c r="D137" s="3"/>
      <c r="E137" s="3"/>
      <c r="F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B138" s="3"/>
      <c r="C138" s="3"/>
      <c r="D138" s="3"/>
      <c r="E138" s="3"/>
      <c r="F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B139" s="3"/>
      <c r="C139" s="3"/>
      <c r="D139" s="3"/>
      <c r="E139" s="3"/>
      <c r="F139" s="3"/>
    </row>
    <row r="140" spans="1:20">
      <c r="B140" s="6"/>
      <c r="C140" s="6"/>
      <c r="D140" s="6"/>
      <c r="E140" s="6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B141" s="3"/>
      <c r="C141" s="3"/>
      <c r="D141" s="3"/>
      <c r="E141" s="3"/>
      <c r="F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196"/>
      <c r="B142" s="196"/>
      <c r="C142" s="196"/>
      <c r="D142" s="196"/>
      <c r="E142" s="196"/>
      <c r="F142" s="196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196"/>
      <c r="B143" s="196"/>
      <c r="C143" s="196"/>
      <c r="D143" s="196"/>
      <c r="E143" s="196"/>
      <c r="F143" s="196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196"/>
      <c r="B145" s="197"/>
      <c r="C145" s="197"/>
      <c r="D145" s="197"/>
      <c r="E145" s="197"/>
      <c r="F145" s="196"/>
    </row>
    <row r="146" spans="1:20">
      <c r="A146" s="196"/>
      <c r="B146" s="197"/>
      <c r="C146" s="197"/>
      <c r="D146" s="197"/>
      <c r="E146" s="197"/>
      <c r="F146" s="196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B148" s="3"/>
      <c r="C148" s="3"/>
      <c r="D148" s="3"/>
      <c r="E148" s="3"/>
      <c r="F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196"/>
      <c r="B149" s="197"/>
      <c r="C149" s="197"/>
      <c r="D149" s="197"/>
      <c r="E149" s="197"/>
      <c r="F149" s="196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196"/>
      <c r="B150" s="197"/>
      <c r="C150" s="197"/>
      <c r="D150" s="197"/>
      <c r="E150" s="197"/>
      <c r="F150" s="196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B151" s="6"/>
    </row>
    <row r="152" spans="1:20">
      <c r="B152" s="3"/>
      <c r="C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B153" s="3"/>
      <c r="C153" s="3"/>
      <c r="D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196"/>
      <c r="B155" s="196"/>
      <c r="C155" s="196"/>
      <c r="D155" s="196"/>
      <c r="E155" s="196"/>
      <c r="F155" s="196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196"/>
      <c r="B156" s="196"/>
      <c r="C156" s="196"/>
      <c r="D156" s="196"/>
      <c r="E156" s="196"/>
      <c r="F156" s="196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196"/>
      <c r="B157" s="196"/>
      <c r="C157" s="196"/>
      <c r="D157" s="196"/>
      <c r="E157" s="196"/>
      <c r="F157" s="196"/>
    </row>
    <row r="158" spans="1:20">
      <c r="A158" s="196"/>
      <c r="B158" s="196"/>
      <c r="C158" s="196"/>
      <c r="D158" s="196"/>
      <c r="E158" s="196"/>
      <c r="F158" s="196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B159" s="3"/>
      <c r="C159" s="3"/>
      <c r="D159" s="3"/>
      <c r="E159" s="3"/>
      <c r="F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B160" s="3"/>
      <c r="C160" s="3"/>
      <c r="D160" s="3"/>
      <c r="E160" s="3"/>
      <c r="F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168">
      <c r="A161" s="196"/>
      <c r="B161" s="197"/>
      <c r="C161" s="197"/>
      <c r="D161" s="197"/>
      <c r="E161" s="197"/>
      <c r="F161" s="196"/>
      <c r="L161" s="3"/>
      <c r="M161" s="3"/>
      <c r="N161" s="3"/>
      <c r="O161" s="3"/>
      <c r="P161" s="3"/>
      <c r="Q161" s="3"/>
      <c r="R161" s="3"/>
      <c r="S161" s="3"/>
      <c r="T161" s="3"/>
    </row>
    <row r="162" spans="1:168">
      <c r="A162" s="196"/>
      <c r="B162" s="197"/>
      <c r="C162" s="197"/>
      <c r="D162" s="197"/>
      <c r="E162" s="197"/>
      <c r="F162" s="196"/>
      <c r="L162" s="3"/>
      <c r="M162" s="3"/>
      <c r="N162" s="3"/>
      <c r="O162" s="3"/>
      <c r="P162" s="3"/>
      <c r="Q162" s="3"/>
      <c r="R162" s="3"/>
      <c r="S162" s="3"/>
      <c r="T162" s="3"/>
    </row>
    <row r="163" spans="1:168">
      <c r="B163" s="6"/>
    </row>
    <row r="164" spans="1:168">
      <c r="B164" s="3"/>
      <c r="C164" s="3"/>
      <c r="D164" s="3"/>
      <c r="E164" s="3"/>
      <c r="F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168">
      <c r="B165" s="3"/>
      <c r="C165" s="3"/>
      <c r="D165" s="3"/>
      <c r="E165" s="3"/>
      <c r="F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168">
      <c r="L166" s="3"/>
      <c r="M166" s="3"/>
      <c r="N166" s="3"/>
      <c r="O166" s="3"/>
      <c r="P166" s="3"/>
      <c r="Q166" s="3"/>
      <c r="R166" s="3"/>
      <c r="S166" s="3"/>
      <c r="T166" s="3"/>
    </row>
    <row r="167" spans="1:168">
      <c r="A167" s="196"/>
      <c r="B167" s="197"/>
      <c r="C167" s="197"/>
      <c r="D167" s="197"/>
      <c r="E167" s="197"/>
      <c r="F167" s="196"/>
      <c r="L167" s="3"/>
      <c r="M167" s="3"/>
      <c r="N167" s="3"/>
      <c r="O167" s="3"/>
      <c r="P167" s="3"/>
      <c r="Q167" s="3"/>
      <c r="R167" s="3"/>
      <c r="S167" s="3"/>
      <c r="T167" s="3"/>
    </row>
    <row r="168" spans="1:168">
      <c r="A168" s="196"/>
      <c r="B168" s="197"/>
      <c r="C168" s="197"/>
      <c r="D168" s="197"/>
      <c r="E168" s="197"/>
      <c r="F168" s="196"/>
      <c r="L168" s="3"/>
      <c r="M168" s="3"/>
      <c r="N168" s="3"/>
      <c r="O168" s="3"/>
      <c r="P168" s="3"/>
      <c r="Q168" s="3"/>
      <c r="R168" s="3"/>
      <c r="S168" s="3"/>
      <c r="T168" s="3"/>
    </row>
    <row r="169" spans="1:168">
      <c r="B169" s="3"/>
      <c r="C169" s="3"/>
      <c r="D169" s="3"/>
      <c r="E169" s="3"/>
      <c r="F169" s="3"/>
    </row>
    <row r="170" spans="1:168">
      <c r="L170" s="3"/>
      <c r="N170" s="3"/>
      <c r="O170" s="3"/>
      <c r="P170" s="3"/>
      <c r="Q170" s="3"/>
      <c r="R170" s="3"/>
      <c r="T170" s="3"/>
      <c r="U170" s="3"/>
      <c r="V170" s="3"/>
      <c r="W170" s="3"/>
      <c r="X170" s="3"/>
      <c r="Z170" s="3"/>
      <c r="AA170" s="3"/>
      <c r="AB170" s="3"/>
      <c r="AC170" s="3"/>
      <c r="AD170" s="3"/>
      <c r="AF170" s="3"/>
      <c r="AG170" s="3"/>
      <c r="AH170" s="3"/>
      <c r="AI170" s="3"/>
      <c r="AJ170" s="3"/>
      <c r="AL170" s="3"/>
      <c r="AM170" s="3"/>
      <c r="AN170" s="3"/>
      <c r="AO170" s="3"/>
      <c r="AP170" s="3"/>
      <c r="AR170" s="3"/>
      <c r="AS170" s="3"/>
      <c r="AT170" s="3"/>
      <c r="AU170" s="3"/>
      <c r="AV170" s="3"/>
      <c r="AX170" s="3"/>
      <c r="AY170" s="3"/>
      <c r="AZ170" s="3"/>
      <c r="BA170" s="3"/>
      <c r="BB170" s="3"/>
      <c r="BD170" s="3"/>
      <c r="BE170" s="3"/>
      <c r="BF170" s="3"/>
      <c r="BG170" s="3"/>
      <c r="BH170" s="3"/>
      <c r="BJ170" s="3"/>
      <c r="BK170" s="3"/>
      <c r="BL170" s="3"/>
      <c r="BM170" s="3"/>
      <c r="BN170" s="3"/>
      <c r="CB170" s="4"/>
      <c r="CC170" s="3"/>
      <c r="CD170" s="3"/>
      <c r="CE170" s="3"/>
      <c r="CF170" s="3"/>
      <c r="CH170" s="4"/>
      <c r="CI170" s="3"/>
      <c r="CJ170" s="3"/>
      <c r="CK170" s="3"/>
      <c r="CL170" s="3"/>
      <c r="CN170" s="3"/>
      <c r="CO170" s="3"/>
      <c r="CP170" s="3"/>
      <c r="CQ170" s="3"/>
      <c r="CR170" s="3"/>
      <c r="CT170" s="3"/>
      <c r="CU170" s="3"/>
      <c r="CV170" s="3"/>
      <c r="CW170" s="3"/>
      <c r="CX170" s="3"/>
      <c r="CZ170" s="3"/>
      <c r="DA170" s="3"/>
      <c r="DB170" s="3"/>
      <c r="DC170" s="3"/>
      <c r="DD170" s="3"/>
      <c r="DF170" s="3"/>
      <c r="DG170" s="3"/>
      <c r="DH170" s="3"/>
      <c r="DI170" s="3"/>
      <c r="DJ170" s="3"/>
      <c r="DL170" s="3"/>
      <c r="DM170" s="3"/>
      <c r="DN170" s="3"/>
      <c r="DP170" s="3"/>
      <c r="DR170" s="3"/>
      <c r="DS170" s="3"/>
      <c r="DT170" s="3"/>
      <c r="DU170" s="3"/>
      <c r="DV170" s="3"/>
      <c r="DX170" s="3"/>
      <c r="DY170" s="3"/>
      <c r="DZ170" s="3"/>
      <c r="EA170" s="3"/>
      <c r="EB170" s="3"/>
      <c r="ED170" s="3"/>
      <c r="EE170" s="3"/>
      <c r="EF170" s="3"/>
      <c r="EG170" s="3"/>
      <c r="EH170" s="3"/>
      <c r="EJ170" s="3"/>
      <c r="EK170" s="3"/>
      <c r="EL170" s="3"/>
      <c r="EM170" s="3"/>
      <c r="EN170" s="3"/>
      <c r="EP170" s="3"/>
      <c r="EQ170" s="3"/>
      <c r="ER170" s="3"/>
      <c r="ES170" s="3"/>
      <c r="ET170" s="3"/>
      <c r="EV170" s="3"/>
      <c r="EW170" s="3"/>
      <c r="EX170" s="3"/>
      <c r="EY170" s="3"/>
      <c r="EZ170" s="3"/>
      <c r="FB170" s="3"/>
      <c r="FC170" s="3"/>
      <c r="FD170" s="3"/>
      <c r="FE170" s="3"/>
      <c r="FF170" s="3"/>
      <c r="FH170" s="3"/>
      <c r="FI170" s="3"/>
      <c r="FJ170" s="3"/>
      <c r="FK170" s="3"/>
      <c r="FL170" s="3"/>
    </row>
    <row r="171" spans="1:168">
      <c r="A171" s="196"/>
      <c r="B171" s="197"/>
      <c r="C171" s="197"/>
      <c r="D171" s="197"/>
      <c r="E171" s="197"/>
      <c r="F171" s="196"/>
      <c r="L171" s="3"/>
      <c r="N171" s="3"/>
      <c r="O171" s="3"/>
      <c r="P171" s="3"/>
      <c r="Q171" s="3"/>
      <c r="R171" s="3"/>
      <c r="T171" s="3"/>
      <c r="U171" s="3"/>
      <c r="V171" s="3"/>
      <c r="W171" s="3"/>
      <c r="X171" s="3"/>
      <c r="Z171" s="3"/>
      <c r="AA171" s="3"/>
      <c r="AB171" s="3"/>
      <c r="AC171" s="3"/>
      <c r="AD171" s="3"/>
      <c r="AF171" s="3"/>
      <c r="AG171" s="3"/>
      <c r="AH171" s="3"/>
      <c r="AI171" s="3"/>
      <c r="AJ171" s="3"/>
      <c r="AL171" s="3"/>
      <c r="AM171" s="3"/>
      <c r="AN171" s="3"/>
      <c r="AO171" s="3"/>
      <c r="AP171" s="3"/>
      <c r="AR171" s="3"/>
      <c r="AS171" s="3"/>
      <c r="AT171" s="3"/>
      <c r="AU171" s="3"/>
      <c r="AV171" s="3"/>
      <c r="AX171" s="3"/>
      <c r="AY171" s="3"/>
      <c r="AZ171" s="3"/>
      <c r="BA171" s="3"/>
      <c r="BB171" s="3"/>
      <c r="BD171" s="3"/>
      <c r="BE171" s="3"/>
      <c r="BF171" s="3"/>
      <c r="BG171" s="3"/>
      <c r="BH171" s="3"/>
      <c r="BJ171" s="3"/>
      <c r="BK171" s="3"/>
      <c r="BL171" s="3"/>
      <c r="BM171" s="3"/>
      <c r="BN171" s="3"/>
      <c r="CB171" s="4"/>
      <c r="CC171" s="3"/>
      <c r="CD171" s="3"/>
      <c r="CE171" s="3"/>
      <c r="CF171" s="3"/>
      <c r="CH171" s="4"/>
      <c r="CI171" s="3"/>
      <c r="CJ171" s="3"/>
      <c r="CK171" s="3"/>
      <c r="CL171" s="3"/>
      <c r="CN171" s="3"/>
      <c r="CO171" s="3"/>
      <c r="CP171" s="3"/>
      <c r="CQ171" s="3"/>
      <c r="CR171" s="3"/>
      <c r="CT171" s="3"/>
      <c r="CU171" s="3"/>
      <c r="CV171" s="3"/>
      <c r="CW171" s="3"/>
      <c r="CX171" s="3"/>
      <c r="CZ171" s="3"/>
      <c r="DA171" s="3"/>
      <c r="DB171" s="3"/>
      <c r="DC171" s="3"/>
      <c r="DD171" s="3"/>
      <c r="DF171" s="3"/>
      <c r="DG171" s="3"/>
      <c r="DH171" s="3"/>
      <c r="DI171" s="3"/>
      <c r="DJ171" s="3"/>
      <c r="DL171" s="3"/>
      <c r="DM171" s="3"/>
      <c r="DN171" s="3"/>
      <c r="DP171" s="3"/>
      <c r="DR171" s="3"/>
      <c r="DS171" s="3"/>
      <c r="DT171" s="3"/>
      <c r="DU171" s="3"/>
      <c r="DV171" s="3"/>
      <c r="DX171" s="3"/>
      <c r="DY171" s="3"/>
      <c r="DZ171" s="3"/>
      <c r="EA171" s="3"/>
      <c r="EB171" s="3"/>
      <c r="ED171" s="3"/>
      <c r="EE171" s="3"/>
      <c r="EF171" s="3"/>
      <c r="EG171" s="3"/>
      <c r="EH171" s="3"/>
      <c r="EJ171" s="3"/>
      <c r="EK171" s="3"/>
      <c r="EL171" s="3"/>
      <c r="EM171" s="3"/>
      <c r="EN171" s="3"/>
      <c r="EP171" s="3"/>
      <c r="EQ171" s="3"/>
      <c r="ER171" s="3"/>
      <c r="ES171" s="3"/>
      <c r="ET171" s="3"/>
      <c r="EV171" s="3"/>
      <c r="EW171" s="3"/>
      <c r="EX171" s="3"/>
      <c r="EY171" s="3"/>
      <c r="EZ171" s="3"/>
      <c r="FB171" s="3"/>
      <c r="FC171" s="3"/>
      <c r="FD171" s="3"/>
      <c r="FE171" s="3"/>
      <c r="FF171" s="3"/>
      <c r="FH171" s="3"/>
      <c r="FI171" s="3"/>
      <c r="FJ171" s="3"/>
      <c r="FK171" s="3"/>
      <c r="FL171" s="3"/>
    </row>
    <row r="172" spans="1:168">
      <c r="A172" s="196"/>
      <c r="B172" s="197"/>
      <c r="C172" s="197"/>
      <c r="D172" s="197"/>
      <c r="E172" s="197"/>
      <c r="F172" s="196"/>
      <c r="L172" s="3"/>
      <c r="N172" s="3"/>
      <c r="O172" s="3"/>
      <c r="P172" s="3"/>
      <c r="Q172" s="3"/>
      <c r="R172" s="3"/>
      <c r="T172" s="3"/>
      <c r="U172" s="3"/>
      <c r="V172" s="3"/>
      <c r="W172" s="3"/>
      <c r="X172" s="3"/>
      <c r="Z172" s="3"/>
      <c r="AA172" s="3"/>
      <c r="AB172" s="3"/>
      <c r="AC172" s="3"/>
      <c r="AD172" s="3"/>
      <c r="AF172" s="3"/>
      <c r="AG172" s="3"/>
      <c r="AH172" s="3"/>
      <c r="AI172" s="3"/>
      <c r="AJ172" s="3"/>
      <c r="AL172" s="3"/>
      <c r="AM172" s="3"/>
      <c r="AN172" s="3"/>
      <c r="AO172" s="3"/>
      <c r="AP172" s="3"/>
      <c r="AR172" s="3"/>
      <c r="AS172" s="3"/>
      <c r="AT172" s="3"/>
      <c r="AU172" s="3"/>
      <c r="AV172" s="3"/>
      <c r="AX172" s="3"/>
      <c r="AY172" s="3"/>
      <c r="AZ172" s="3"/>
      <c r="BA172" s="3"/>
      <c r="BB172" s="3"/>
      <c r="BD172" s="3"/>
      <c r="BE172" s="3"/>
      <c r="BF172" s="3"/>
      <c r="BG172" s="3"/>
      <c r="BH172" s="3"/>
      <c r="BJ172" s="3"/>
      <c r="BK172" s="3"/>
      <c r="BL172" s="3"/>
      <c r="BM172" s="3"/>
      <c r="BN172" s="3"/>
      <c r="CB172" s="4"/>
      <c r="CC172" s="3"/>
      <c r="CD172" s="3"/>
      <c r="CE172" s="3"/>
      <c r="CF172" s="3"/>
      <c r="CH172" s="4"/>
      <c r="CI172" s="3"/>
      <c r="CJ172" s="3"/>
      <c r="CK172" s="3"/>
      <c r="CL172" s="3"/>
      <c r="CN172" s="3"/>
      <c r="CO172" s="3"/>
      <c r="CP172" s="3"/>
      <c r="CQ172" s="3"/>
      <c r="CR172" s="3"/>
      <c r="CT172" s="3"/>
      <c r="CU172" s="3"/>
      <c r="CV172" s="3"/>
      <c r="CW172" s="3"/>
      <c r="CX172" s="3"/>
      <c r="CZ172" s="3"/>
      <c r="DA172" s="3"/>
      <c r="DB172" s="3"/>
      <c r="DC172" s="3"/>
      <c r="DD172" s="3"/>
      <c r="DF172" s="3"/>
      <c r="DG172" s="3"/>
      <c r="DH172" s="3"/>
      <c r="DI172" s="3"/>
      <c r="DJ172" s="3"/>
      <c r="DL172" s="3"/>
      <c r="DM172" s="3"/>
      <c r="DN172" s="3"/>
      <c r="DP172" s="3"/>
      <c r="DR172" s="3"/>
      <c r="DS172" s="3"/>
      <c r="DT172" s="3"/>
      <c r="DU172" s="3"/>
      <c r="DV172" s="3"/>
      <c r="DX172" s="3"/>
      <c r="DY172" s="3"/>
      <c r="DZ172" s="3"/>
      <c r="EA172" s="3"/>
      <c r="EB172" s="3"/>
      <c r="ED172" s="3"/>
      <c r="EE172" s="3"/>
      <c r="EF172" s="3"/>
      <c r="EG172" s="3"/>
      <c r="EH172" s="3"/>
      <c r="EJ172" s="3"/>
      <c r="EK172" s="3"/>
      <c r="EL172" s="3"/>
      <c r="EM172" s="3"/>
      <c r="EN172" s="3"/>
      <c r="EP172" s="3"/>
      <c r="EQ172" s="3"/>
      <c r="ER172" s="3"/>
      <c r="ES172" s="3"/>
      <c r="ET172" s="3"/>
      <c r="EV172" s="3"/>
      <c r="EW172" s="3"/>
      <c r="EX172" s="3"/>
      <c r="EY172" s="3"/>
      <c r="EZ172" s="3"/>
      <c r="FB172" s="3"/>
      <c r="FC172" s="3"/>
      <c r="FD172" s="3"/>
      <c r="FE172" s="3"/>
      <c r="FF172" s="3"/>
      <c r="FH172" s="3"/>
      <c r="FI172" s="3"/>
      <c r="FJ172" s="3"/>
      <c r="FK172" s="3"/>
      <c r="FL172" s="3"/>
    </row>
    <row r="173" spans="1:168">
      <c r="B173" s="3"/>
      <c r="C173" s="3"/>
      <c r="D173" s="3"/>
      <c r="E173" s="3"/>
      <c r="F173" s="3"/>
      <c r="L173" s="3"/>
      <c r="N173" s="3"/>
      <c r="O173" s="3"/>
      <c r="P173" s="3"/>
      <c r="Q173" s="3"/>
      <c r="R173" s="3"/>
      <c r="T173" s="3"/>
      <c r="U173" s="3"/>
      <c r="V173" s="3"/>
      <c r="W173" s="3"/>
      <c r="X173" s="3"/>
      <c r="Z173" s="3"/>
      <c r="AA173" s="3"/>
      <c r="AB173" s="3"/>
      <c r="AC173" s="3"/>
      <c r="AD173" s="3"/>
      <c r="AF173" s="3"/>
      <c r="AG173" s="3"/>
      <c r="AH173" s="3"/>
      <c r="AI173" s="3"/>
      <c r="AJ173" s="3"/>
      <c r="AL173" s="3"/>
      <c r="AM173" s="3"/>
      <c r="AN173" s="3"/>
      <c r="AO173" s="3"/>
      <c r="AP173" s="3"/>
      <c r="AR173" s="3"/>
      <c r="AS173" s="3"/>
      <c r="AT173" s="3"/>
      <c r="AU173" s="3"/>
      <c r="AV173" s="3"/>
      <c r="AX173" s="3"/>
      <c r="AY173" s="3"/>
      <c r="AZ173" s="3"/>
      <c r="BA173" s="3"/>
      <c r="BB173" s="3"/>
      <c r="BD173" s="3"/>
      <c r="BE173" s="3"/>
      <c r="BF173" s="3"/>
      <c r="BG173" s="3"/>
      <c r="BH173" s="3"/>
      <c r="BJ173" s="3"/>
      <c r="BK173" s="3"/>
      <c r="BL173" s="3"/>
      <c r="BM173" s="3"/>
      <c r="BN173" s="3"/>
      <c r="CB173" s="4"/>
      <c r="CC173" s="3"/>
      <c r="CD173" s="3"/>
      <c r="CE173" s="3"/>
      <c r="CF173" s="3"/>
      <c r="CH173" s="4"/>
      <c r="CI173" s="3"/>
      <c r="CJ173" s="3"/>
      <c r="CK173" s="3"/>
      <c r="CL173" s="3"/>
      <c r="CN173" s="3"/>
      <c r="CO173" s="3"/>
      <c r="CP173" s="3"/>
      <c r="CQ173" s="3"/>
      <c r="CR173" s="3"/>
      <c r="CT173" s="3"/>
      <c r="CU173" s="3"/>
      <c r="CV173" s="3"/>
      <c r="CW173" s="3"/>
      <c r="CX173" s="3"/>
      <c r="CZ173" s="3"/>
      <c r="DA173" s="3"/>
      <c r="DB173" s="3"/>
      <c r="DC173" s="3"/>
      <c r="DD173" s="3"/>
      <c r="DF173" s="3"/>
      <c r="DG173" s="3"/>
      <c r="DH173" s="3"/>
      <c r="DI173" s="3"/>
      <c r="DJ173" s="3"/>
      <c r="DL173" s="3"/>
      <c r="DM173" s="3"/>
      <c r="DN173" s="3"/>
      <c r="DP173" s="3"/>
      <c r="DR173" s="3"/>
      <c r="DS173" s="3"/>
      <c r="DT173" s="3"/>
      <c r="DU173" s="3"/>
      <c r="DV173" s="3"/>
      <c r="DX173" s="3"/>
      <c r="DY173" s="3"/>
      <c r="DZ173" s="3"/>
      <c r="EA173" s="3"/>
      <c r="EB173" s="3"/>
      <c r="ED173" s="3"/>
      <c r="EE173" s="3"/>
      <c r="EF173" s="3"/>
      <c r="EG173" s="3"/>
      <c r="EH173" s="3"/>
      <c r="EJ173" s="3"/>
      <c r="EK173" s="3"/>
      <c r="EL173" s="3"/>
      <c r="EM173" s="3"/>
      <c r="EN173" s="3"/>
      <c r="EP173" s="3"/>
      <c r="EQ173" s="3"/>
      <c r="ER173" s="3"/>
      <c r="ES173" s="3"/>
      <c r="ET173" s="3"/>
      <c r="EV173" s="3"/>
      <c r="EW173" s="3"/>
      <c r="EX173" s="3"/>
      <c r="EY173" s="3"/>
      <c r="EZ173" s="3"/>
      <c r="FB173" s="3"/>
      <c r="FC173" s="3"/>
      <c r="FD173" s="3"/>
      <c r="FE173" s="3"/>
      <c r="FF173" s="3"/>
      <c r="FH173" s="3"/>
      <c r="FI173" s="3"/>
      <c r="FJ173" s="3"/>
      <c r="FK173" s="3"/>
      <c r="FL173" s="3"/>
    </row>
    <row r="174" spans="1:168">
      <c r="B174" s="3"/>
      <c r="C174" s="3"/>
      <c r="D174" s="3"/>
      <c r="E174" s="3"/>
      <c r="F174" s="3"/>
      <c r="L174" s="3"/>
      <c r="N174" s="3"/>
      <c r="O174" s="3"/>
      <c r="P174" s="3"/>
      <c r="Q174" s="3"/>
      <c r="R174" s="3"/>
      <c r="T174" s="3"/>
      <c r="U174" s="3"/>
      <c r="V174" s="3"/>
      <c r="W174" s="3"/>
      <c r="X174" s="3"/>
      <c r="Z174" s="3"/>
      <c r="AA174" s="3"/>
      <c r="AB174" s="3"/>
      <c r="AC174" s="3"/>
      <c r="AD174" s="3"/>
      <c r="AF174" s="3"/>
      <c r="AG174" s="3"/>
      <c r="AH174" s="3"/>
      <c r="AI174" s="3"/>
      <c r="AJ174" s="3"/>
      <c r="AL174" s="3"/>
      <c r="AM174" s="3"/>
      <c r="AN174" s="3"/>
      <c r="AO174" s="3"/>
      <c r="AP174" s="3"/>
      <c r="AR174" s="3"/>
      <c r="AS174" s="3"/>
      <c r="AT174" s="3"/>
      <c r="AU174" s="3"/>
      <c r="AV174" s="3"/>
      <c r="AX174" s="3"/>
      <c r="AY174" s="3"/>
      <c r="AZ174" s="3"/>
      <c r="BA174" s="3"/>
      <c r="BB174" s="3"/>
      <c r="BD174" s="3"/>
      <c r="BE174" s="3"/>
      <c r="BF174" s="3"/>
      <c r="BG174" s="3"/>
      <c r="BH174" s="3"/>
      <c r="BJ174" s="3"/>
      <c r="BK174" s="3"/>
      <c r="BL174" s="3"/>
      <c r="BM174" s="3"/>
      <c r="BN174" s="3"/>
      <c r="CB174" s="4"/>
      <c r="CC174" s="3"/>
      <c r="CD174" s="3"/>
      <c r="CE174" s="3"/>
      <c r="CF174" s="3"/>
      <c r="CH174" s="4"/>
      <c r="CI174" s="3"/>
      <c r="CJ174" s="3"/>
      <c r="CK174" s="3"/>
      <c r="CL174" s="3"/>
      <c r="CN174" s="3"/>
      <c r="CO174" s="3"/>
      <c r="CP174" s="3"/>
      <c r="CQ174" s="3"/>
      <c r="CR174" s="3"/>
      <c r="CT174" s="3"/>
      <c r="CU174" s="3"/>
      <c r="CV174" s="3"/>
      <c r="CW174" s="3"/>
      <c r="CX174" s="3"/>
      <c r="CZ174" s="3"/>
      <c r="DA174" s="3"/>
      <c r="DB174" s="3"/>
      <c r="DC174" s="3"/>
      <c r="DD174" s="3"/>
      <c r="DF174" s="3"/>
      <c r="DG174" s="3"/>
      <c r="DH174" s="3"/>
      <c r="DI174" s="3"/>
      <c r="DJ174" s="3"/>
      <c r="DL174" s="3"/>
      <c r="DM174" s="3"/>
      <c r="DN174" s="3"/>
      <c r="DP174" s="3"/>
      <c r="DR174" s="3"/>
      <c r="DS174" s="3"/>
      <c r="DT174" s="3"/>
      <c r="DU174" s="3"/>
      <c r="DV174" s="3"/>
      <c r="DX174" s="3"/>
      <c r="DY174" s="3"/>
      <c r="DZ174" s="3"/>
      <c r="EA174" s="3"/>
      <c r="EB174" s="3"/>
      <c r="ED174" s="3"/>
      <c r="EE174" s="3"/>
      <c r="EF174" s="3"/>
      <c r="EG174" s="3"/>
      <c r="EH174" s="3"/>
      <c r="EJ174" s="3"/>
      <c r="EK174" s="3"/>
      <c r="EL174" s="3"/>
      <c r="EM174" s="3"/>
      <c r="EN174" s="3"/>
      <c r="EP174" s="3"/>
      <c r="EQ174" s="3"/>
      <c r="ER174" s="3"/>
      <c r="ES174" s="3"/>
      <c r="ET174" s="3"/>
      <c r="EV174" s="3"/>
      <c r="EW174" s="3"/>
      <c r="EX174" s="3"/>
      <c r="EY174" s="3"/>
      <c r="EZ174" s="3"/>
      <c r="FB174" s="3"/>
      <c r="FC174" s="3"/>
      <c r="FD174" s="3"/>
      <c r="FE174" s="3"/>
      <c r="FF174" s="3"/>
      <c r="FH174" s="3"/>
      <c r="FI174" s="3"/>
      <c r="FJ174" s="3"/>
      <c r="FK174" s="3"/>
      <c r="FL174" s="3"/>
    </row>
    <row r="175" spans="1:168">
      <c r="B175" s="6"/>
      <c r="C175" s="6"/>
      <c r="D175" s="6"/>
      <c r="E175" s="6"/>
      <c r="L175" s="3"/>
      <c r="N175" s="3"/>
      <c r="O175" s="3"/>
      <c r="P175" s="3"/>
      <c r="Q175" s="3"/>
      <c r="R175" s="3"/>
      <c r="T175" s="3"/>
      <c r="U175" s="3"/>
      <c r="V175" s="3"/>
      <c r="W175" s="3"/>
      <c r="X175" s="3"/>
      <c r="Z175" s="3"/>
      <c r="AA175" s="3"/>
      <c r="AB175" s="3"/>
      <c r="AC175" s="3"/>
      <c r="AD175" s="3"/>
      <c r="AF175" s="3"/>
      <c r="AG175" s="3"/>
      <c r="AH175" s="3"/>
      <c r="AI175" s="3"/>
      <c r="AJ175" s="3"/>
      <c r="AL175" s="3"/>
      <c r="AM175" s="3"/>
      <c r="AN175" s="3"/>
      <c r="AO175" s="3"/>
      <c r="AP175" s="3"/>
      <c r="AR175" s="3"/>
      <c r="AS175" s="3"/>
      <c r="AT175" s="3"/>
      <c r="AU175" s="3"/>
      <c r="AV175" s="3"/>
      <c r="AX175" s="3"/>
      <c r="AY175" s="3"/>
      <c r="AZ175" s="3"/>
      <c r="BA175" s="3"/>
      <c r="BB175" s="3"/>
      <c r="BD175" s="3"/>
      <c r="BE175" s="3"/>
      <c r="BF175" s="3"/>
      <c r="BG175" s="3"/>
      <c r="BH175" s="3"/>
      <c r="BJ175" s="3"/>
      <c r="BK175" s="3"/>
      <c r="BL175" s="3"/>
      <c r="BM175" s="3"/>
      <c r="BN175" s="3"/>
      <c r="CB175" s="4"/>
      <c r="CC175" s="3"/>
      <c r="CD175" s="3"/>
      <c r="CE175" s="3"/>
      <c r="CF175" s="3"/>
      <c r="CH175" s="4"/>
      <c r="CI175" s="3"/>
      <c r="CJ175" s="3"/>
      <c r="CK175" s="3"/>
      <c r="CL175" s="3"/>
      <c r="CN175" s="3"/>
      <c r="CO175" s="3"/>
      <c r="CP175" s="3"/>
      <c r="CQ175" s="3"/>
      <c r="CR175" s="3"/>
      <c r="CT175" s="3"/>
      <c r="CU175" s="3"/>
      <c r="CV175" s="3"/>
      <c r="CW175" s="3"/>
      <c r="CX175" s="3"/>
      <c r="CZ175" s="3"/>
      <c r="DA175" s="3"/>
      <c r="DB175" s="3"/>
      <c r="DC175" s="3"/>
      <c r="DD175" s="3"/>
      <c r="DF175" s="3"/>
      <c r="DG175" s="3"/>
      <c r="DH175" s="3"/>
      <c r="DI175" s="3"/>
      <c r="DJ175" s="3"/>
      <c r="DL175" s="3"/>
      <c r="DM175" s="3"/>
      <c r="DN175" s="3"/>
      <c r="DP175" s="3"/>
      <c r="DR175" s="3"/>
      <c r="DS175" s="3"/>
      <c r="DT175" s="3"/>
      <c r="DU175" s="3"/>
      <c r="DV175" s="3"/>
      <c r="DX175" s="3"/>
      <c r="DY175" s="3"/>
      <c r="DZ175" s="3"/>
      <c r="EA175" s="3"/>
      <c r="EB175" s="3"/>
      <c r="ED175" s="3"/>
      <c r="EE175" s="3"/>
      <c r="EF175" s="3"/>
      <c r="EG175" s="3"/>
      <c r="EH175" s="3"/>
      <c r="EJ175" s="3"/>
      <c r="EK175" s="3"/>
      <c r="EL175" s="3"/>
      <c r="EM175" s="3"/>
      <c r="EN175" s="3"/>
      <c r="EP175" s="3"/>
      <c r="EQ175" s="3"/>
      <c r="ER175" s="3"/>
      <c r="ES175" s="3"/>
      <c r="ET175" s="3"/>
      <c r="EV175" s="3"/>
      <c r="EW175" s="3"/>
      <c r="EX175" s="3"/>
      <c r="EY175" s="3"/>
      <c r="EZ175" s="3"/>
      <c r="FB175" s="3"/>
      <c r="FC175" s="3"/>
      <c r="FD175" s="3"/>
      <c r="FE175" s="3"/>
      <c r="FF175" s="3"/>
      <c r="FH175" s="3"/>
      <c r="FI175" s="3"/>
      <c r="FJ175" s="3"/>
      <c r="FK175" s="3"/>
      <c r="FL175" s="3"/>
    </row>
    <row r="176" spans="1:168">
      <c r="B176" s="6"/>
      <c r="L176" s="3"/>
      <c r="N176" s="3"/>
      <c r="O176" s="3"/>
      <c r="P176" s="3"/>
      <c r="Q176" s="3"/>
      <c r="R176" s="3"/>
      <c r="T176" s="3"/>
      <c r="U176" s="3"/>
      <c r="V176" s="3"/>
      <c r="W176" s="3"/>
      <c r="X176" s="3"/>
      <c r="Z176" s="3"/>
      <c r="AA176" s="3"/>
      <c r="AB176" s="3"/>
      <c r="AC176" s="3"/>
      <c r="AD176" s="3"/>
      <c r="AF176" s="3"/>
      <c r="AG176" s="3"/>
      <c r="AH176" s="3"/>
      <c r="AI176" s="3"/>
      <c r="AJ176" s="3"/>
      <c r="AL176" s="3"/>
      <c r="AM176" s="3"/>
      <c r="AN176" s="3"/>
      <c r="AO176" s="3"/>
      <c r="AP176" s="3"/>
      <c r="AR176" s="3"/>
      <c r="AS176" s="3"/>
      <c r="AT176" s="3"/>
      <c r="AU176" s="3"/>
      <c r="AV176" s="3"/>
      <c r="AX176" s="3"/>
      <c r="AY176" s="3"/>
      <c r="AZ176" s="3"/>
      <c r="BA176" s="3"/>
      <c r="BB176" s="3"/>
      <c r="BD176" s="3"/>
      <c r="BE176" s="3"/>
      <c r="BF176" s="3"/>
      <c r="BG176" s="3"/>
      <c r="BH176" s="3"/>
      <c r="BJ176" s="3"/>
      <c r="BK176" s="3"/>
      <c r="BL176" s="3"/>
      <c r="BM176" s="3"/>
      <c r="BN176" s="3"/>
      <c r="CB176" s="4"/>
      <c r="CC176" s="3"/>
      <c r="CD176" s="3"/>
      <c r="CE176" s="3"/>
      <c r="CF176" s="3"/>
      <c r="CH176" s="4"/>
      <c r="CI176" s="3"/>
      <c r="CJ176" s="3"/>
      <c r="CK176" s="3"/>
      <c r="CL176" s="3"/>
      <c r="CN176" s="3"/>
      <c r="CO176" s="3"/>
      <c r="CP176" s="3"/>
      <c r="CQ176" s="3"/>
      <c r="CR176" s="3"/>
      <c r="CT176" s="3"/>
      <c r="CU176" s="3"/>
      <c r="CV176" s="3"/>
      <c r="CW176" s="3"/>
      <c r="CX176" s="3"/>
      <c r="CZ176" s="3"/>
      <c r="DA176" s="3"/>
      <c r="DB176" s="3"/>
      <c r="DC176" s="3"/>
      <c r="DD176" s="3"/>
      <c r="DF176" s="3"/>
      <c r="DG176" s="3"/>
      <c r="DH176" s="3"/>
      <c r="DI176" s="3"/>
      <c r="DJ176" s="3"/>
      <c r="DL176" s="3"/>
      <c r="DM176" s="3"/>
      <c r="DN176" s="3"/>
      <c r="DP176" s="3"/>
      <c r="DR176" s="3"/>
      <c r="DS176" s="3"/>
      <c r="DT176" s="3"/>
      <c r="DU176" s="3"/>
      <c r="DV176" s="3"/>
      <c r="DX176" s="3"/>
      <c r="DY176" s="3"/>
      <c r="DZ176" s="3"/>
      <c r="EA176" s="3"/>
      <c r="EB176" s="3"/>
      <c r="ED176" s="3"/>
      <c r="EE176" s="3"/>
      <c r="EF176" s="3"/>
      <c r="EG176" s="3"/>
      <c r="EH176" s="3"/>
      <c r="EJ176" s="3"/>
      <c r="EK176" s="3"/>
      <c r="EL176" s="3"/>
      <c r="EM176" s="3"/>
      <c r="EN176" s="3"/>
      <c r="EP176" s="3"/>
      <c r="EQ176" s="3"/>
      <c r="ER176" s="3"/>
      <c r="ES176" s="3"/>
      <c r="ET176" s="3"/>
      <c r="EV176" s="3"/>
      <c r="EW176" s="3"/>
      <c r="EX176" s="3"/>
      <c r="EY176" s="3"/>
      <c r="EZ176" s="3"/>
      <c r="FB176" s="3"/>
      <c r="FC176" s="3"/>
      <c r="FD176" s="3"/>
      <c r="FE176" s="3"/>
      <c r="FF176" s="3"/>
      <c r="FH176" s="3"/>
      <c r="FI176" s="3"/>
      <c r="FJ176" s="3"/>
      <c r="FK176" s="3"/>
      <c r="FL176" s="3"/>
    </row>
    <row r="177" spans="2:168">
      <c r="B177" s="3"/>
      <c r="C177" s="3"/>
      <c r="D177" s="3"/>
      <c r="E177" s="3"/>
      <c r="F177" s="3"/>
      <c r="L177" s="3"/>
      <c r="N177" s="3"/>
      <c r="O177" s="3"/>
      <c r="P177" s="3"/>
      <c r="Q177" s="3"/>
      <c r="R177" s="3"/>
      <c r="T177" s="3"/>
      <c r="U177" s="3"/>
      <c r="V177" s="3"/>
      <c r="W177" s="3"/>
      <c r="X177" s="3"/>
      <c r="Z177" s="3"/>
      <c r="AA177" s="3"/>
      <c r="AB177" s="3"/>
      <c r="AC177" s="3"/>
      <c r="AD177" s="3"/>
      <c r="AF177" s="3"/>
      <c r="AG177" s="3"/>
      <c r="AH177" s="3"/>
      <c r="AI177" s="3"/>
      <c r="AJ177" s="3"/>
      <c r="AL177" s="3"/>
      <c r="AM177" s="3"/>
      <c r="AN177" s="3"/>
      <c r="AO177" s="3"/>
      <c r="AP177" s="3"/>
      <c r="AR177" s="3"/>
      <c r="AS177" s="3"/>
      <c r="AT177" s="3"/>
      <c r="AU177" s="3"/>
      <c r="AV177" s="3"/>
      <c r="AX177" s="3"/>
      <c r="AY177" s="3"/>
      <c r="AZ177" s="3"/>
      <c r="BA177" s="3"/>
      <c r="BB177" s="3"/>
      <c r="BD177" s="3"/>
      <c r="BE177" s="3"/>
      <c r="BF177" s="3"/>
      <c r="BG177" s="3"/>
      <c r="BH177" s="3"/>
      <c r="BJ177" s="3"/>
      <c r="BK177" s="3"/>
      <c r="BL177" s="3"/>
      <c r="BM177" s="3"/>
      <c r="BN177" s="3"/>
      <c r="CB177" s="4"/>
      <c r="CC177" s="3"/>
      <c r="CD177" s="3"/>
      <c r="CE177" s="3"/>
      <c r="CF177" s="3"/>
      <c r="CH177" s="4"/>
      <c r="CI177" s="3"/>
      <c r="CJ177" s="3"/>
      <c r="CK177" s="3"/>
      <c r="CL177" s="3"/>
      <c r="CN177" s="3"/>
      <c r="CO177" s="3"/>
      <c r="CP177" s="3"/>
      <c r="CQ177" s="3"/>
      <c r="CR177" s="3"/>
      <c r="CT177" s="3"/>
      <c r="CU177" s="3"/>
      <c r="CV177" s="3"/>
      <c r="CW177" s="3"/>
      <c r="CX177" s="3"/>
      <c r="CZ177" s="3"/>
      <c r="DA177" s="3"/>
      <c r="DB177" s="3"/>
      <c r="DC177" s="3"/>
      <c r="DD177" s="3"/>
      <c r="DF177" s="3"/>
      <c r="DG177" s="3"/>
      <c r="DH177" s="3"/>
      <c r="DI177" s="3"/>
      <c r="DJ177" s="3"/>
      <c r="DL177" s="3"/>
      <c r="DM177" s="3"/>
      <c r="DN177" s="3"/>
      <c r="DP177" s="3"/>
      <c r="DR177" s="3"/>
      <c r="DS177" s="3"/>
      <c r="DT177" s="3"/>
      <c r="DU177" s="3"/>
      <c r="DV177" s="3"/>
      <c r="DX177" s="3"/>
      <c r="DY177" s="3"/>
      <c r="DZ177" s="3"/>
      <c r="EA177" s="3"/>
      <c r="EB177" s="3"/>
      <c r="ED177" s="3"/>
      <c r="EE177" s="3"/>
      <c r="EF177" s="3"/>
      <c r="EG177" s="3"/>
      <c r="EH177" s="3"/>
      <c r="EJ177" s="3"/>
      <c r="EK177" s="3"/>
      <c r="EL177" s="3"/>
      <c r="EM177" s="3"/>
      <c r="EN177" s="3"/>
      <c r="EP177" s="3"/>
      <c r="EQ177" s="3"/>
      <c r="ER177" s="3"/>
      <c r="ES177" s="3"/>
      <c r="ET177" s="3"/>
      <c r="EV177" s="3"/>
      <c r="EW177" s="3"/>
      <c r="EX177" s="3"/>
      <c r="EY177" s="3"/>
      <c r="EZ177" s="3"/>
      <c r="FB177" s="3"/>
      <c r="FC177" s="3"/>
      <c r="FD177" s="3"/>
      <c r="FE177" s="3"/>
      <c r="FF177" s="3"/>
      <c r="FH177" s="3"/>
      <c r="FI177" s="3"/>
      <c r="FJ177" s="3"/>
      <c r="FK177" s="3"/>
      <c r="FL177" s="3"/>
    </row>
    <row r="178" spans="2:168">
      <c r="C178" s="2"/>
      <c r="D178" s="2"/>
      <c r="E178" s="2"/>
      <c r="F178" s="2"/>
      <c r="H178" s="3"/>
      <c r="I178" s="3"/>
      <c r="J178" s="3"/>
      <c r="K178" s="3"/>
      <c r="L178" s="3"/>
      <c r="N178" s="3"/>
      <c r="O178" s="3"/>
      <c r="P178" s="3"/>
      <c r="Q178" s="3"/>
      <c r="R178" s="3"/>
      <c r="T178" s="3"/>
      <c r="U178" s="3"/>
      <c r="V178" s="3"/>
      <c r="W178" s="3"/>
      <c r="X178" s="3"/>
      <c r="Z178" s="3"/>
      <c r="AA178" s="3"/>
      <c r="AB178" s="3"/>
      <c r="AC178" s="3"/>
      <c r="AD178" s="3"/>
      <c r="AF178" s="3"/>
      <c r="AG178" s="3"/>
      <c r="AH178" s="3"/>
      <c r="AI178" s="3"/>
      <c r="AJ178" s="3"/>
      <c r="AL178" s="3"/>
      <c r="AM178" s="3"/>
      <c r="AN178" s="3"/>
      <c r="AO178" s="3"/>
      <c r="AP178" s="3"/>
      <c r="AR178" s="3"/>
      <c r="AS178" s="3"/>
      <c r="AT178" s="3"/>
      <c r="AU178" s="3"/>
      <c r="AV178" s="3"/>
      <c r="AX178" s="3"/>
      <c r="AY178" s="3"/>
      <c r="AZ178" s="3"/>
      <c r="BA178" s="3"/>
      <c r="BB178" s="3"/>
      <c r="BD178" s="3"/>
      <c r="BE178" s="3"/>
      <c r="BF178" s="3"/>
      <c r="BG178" s="3"/>
      <c r="BH178" s="3"/>
      <c r="BJ178" s="3"/>
      <c r="BK178" s="3"/>
      <c r="BL178" s="3"/>
      <c r="BM178" s="3"/>
      <c r="BN178" s="3"/>
      <c r="CB178" s="4"/>
      <c r="CC178" s="3"/>
      <c r="CD178" s="3"/>
      <c r="CE178" s="3"/>
      <c r="CF178" s="3"/>
      <c r="CH178" s="4"/>
      <c r="CI178" s="3"/>
      <c r="CJ178" s="3"/>
      <c r="CK178" s="3"/>
      <c r="CL178" s="3"/>
      <c r="CN178" s="3"/>
      <c r="CO178" s="3"/>
      <c r="CP178" s="3"/>
      <c r="CQ178" s="3"/>
      <c r="CR178" s="3"/>
      <c r="CT178" s="3"/>
      <c r="CU178" s="3"/>
      <c r="CV178" s="3"/>
      <c r="CW178" s="3"/>
      <c r="CX178" s="3"/>
      <c r="CZ178" s="3"/>
      <c r="DA178" s="3"/>
      <c r="DB178" s="3"/>
      <c r="DC178" s="3"/>
      <c r="DD178" s="3"/>
      <c r="DF178" s="3"/>
      <c r="DG178" s="3"/>
      <c r="DH178" s="3"/>
      <c r="DI178" s="3"/>
      <c r="DJ178" s="3"/>
      <c r="DL178" s="3"/>
      <c r="DM178" s="3"/>
      <c r="DN178" s="3"/>
      <c r="DP178" s="3"/>
      <c r="DR178" s="3"/>
      <c r="DS178" s="3"/>
      <c r="DT178" s="3"/>
      <c r="DU178" s="3"/>
      <c r="DV178" s="3"/>
      <c r="DX178" s="3"/>
      <c r="DY178" s="3"/>
      <c r="DZ178" s="3"/>
      <c r="EA178" s="3"/>
      <c r="EB178" s="3"/>
      <c r="ED178" s="3"/>
      <c r="EE178" s="3"/>
      <c r="EF178" s="3"/>
      <c r="EG178" s="3"/>
      <c r="EH178" s="3"/>
      <c r="EJ178" s="3"/>
      <c r="EK178" s="3"/>
      <c r="EL178" s="3"/>
      <c r="EM178" s="3"/>
      <c r="EN178" s="3"/>
      <c r="EP178" s="3"/>
      <c r="EQ178" s="3"/>
      <c r="ER178" s="3"/>
      <c r="ES178" s="3"/>
      <c r="ET178" s="3"/>
      <c r="EV178" s="3"/>
      <c r="EW178" s="3"/>
      <c r="EX178" s="3"/>
      <c r="EY178" s="3"/>
      <c r="EZ178" s="3"/>
      <c r="FB178" s="3"/>
      <c r="FC178" s="3"/>
      <c r="FD178" s="3"/>
      <c r="FE178" s="3"/>
      <c r="FF178" s="3"/>
      <c r="FH178" s="3"/>
      <c r="FI178" s="3"/>
      <c r="FJ178" s="3"/>
      <c r="FK178" s="3"/>
      <c r="FL178" s="3"/>
    </row>
    <row r="179" spans="2:168">
      <c r="C179" s="2"/>
      <c r="D179" s="2"/>
      <c r="E179" s="2"/>
      <c r="F179" s="2"/>
      <c r="H179" s="3"/>
      <c r="I179" s="3"/>
      <c r="J179" s="3"/>
      <c r="K179" s="3"/>
      <c r="L179" s="3"/>
      <c r="N179" s="3"/>
      <c r="O179" s="3"/>
      <c r="P179" s="3"/>
      <c r="Q179" s="3"/>
      <c r="R179" s="3"/>
      <c r="T179" s="3"/>
      <c r="U179" s="3"/>
      <c r="V179" s="3"/>
      <c r="W179" s="3"/>
      <c r="X179" s="3"/>
      <c r="Z179" s="3"/>
      <c r="AA179" s="3"/>
      <c r="AB179" s="3"/>
      <c r="AC179" s="3"/>
      <c r="AD179" s="3"/>
      <c r="AF179" s="3"/>
      <c r="AG179" s="3"/>
      <c r="AH179" s="3"/>
      <c r="AI179" s="3"/>
      <c r="AJ179" s="3"/>
      <c r="AL179" s="3"/>
      <c r="AM179" s="3"/>
      <c r="AN179" s="3"/>
      <c r="AO179" s="3"/>
      <c r="AP179" s="3"/>
      <c r="AR179" s="3"/>
      <c r="AS179" s="3"/>
      <c r="AT179" s="3"/>
      <c r="AU179" s="3"/>
      <c r="AV179" s="3"/>
      <c r="AX179" s="3"/>
      <c r="AY179" s="3"/>
      <c r="AZ179" s="3"/>
      <c r="BA179" s="3"/>
      <c r="BB179" s="3"/>
      <c r="BD179" s="3"/>
      <c r="BE179" s="3"/>
      <c r="BF179" s="3"/>
      <c r="BG179" s="3"/>
      <c r="BH179" s="3"/>
      <c r="BJ179" s="3"/>
      <c r="BK179" s="3"/>
      <c r="BL179" s="3"/>
      <c r="BM179" s="3"/>
      <c r="BN179" s="3"/>
      <c r="CB179" s="4"/>
      <c r="CC179" s="3"/>
      <c r="CD179" s="3"/>
      <c r="CE179" s="3"/>
      <c r="CF179" s="3"/>
      <c r="CH179" s="4"/>
      <c r="CI179" s="3"/>
      <c r="CJ179" s="3"/>
      <c r="CK179" s="3"/>
      <c r="CL179" s="3"/>
      <c r="CN179" s="3"/>
      <c r="CO179" s="3"/>
      <c r="CP179" s="3"/>
      <c r="CQ179" s="3"/>
      <c r="CR179" s="3"/>
      <c r="CT179" s="3"/>
      <c r="CU179" s="3"/>
      <c r="CV179" s="3"/>
      <c r="CW179" s="3"/>
      <c r="CX179" s="3"/>
      <c r="CZ179" s="3"/>
      <c r="DA179" s="3"/>
      <c r="DB179" s="3"/>
      <c r="DC179" s="3"/>
      <c r="DD179" s="3"/>
      <c r="DF179" s="3"/>
      <c r="DG179" s="3"/>
      <c r="DH179" s="3"/>
      <c r="DI179" s="3"/>
      <c r="DJ179" s="3"/>
      <c r="DL179" s="3"/>
      <c r="DM179" s="3"/>
      <c r="DN179" s="3"/>
      <c r="DP179" s="3"/>
      <c r="DR179" s="3"/>
      <c r="DS179" s="3"/>
      <c r="DT179" s="3"/>
      <c r="DU179" s="3"/>
      <c r="DV179" s="3"/>
      <c r="DX179" s="3"/>
      <c r="DY179" s="3"/>
      <c r="DZ179" s="3"/>
      <c r="EA179" s="3"/>
      <c r="EB179" s="3"/>
      <c r="ED179" s="3"/>
      <c r="EE179" s="3"/>
      <c r="EF179" s="3"/>
      <c r="EG179" s="3"/>
      <c r="EH179" s="3"/>
      <c r="EJ179" s="3"/>
      <c r="EK179" s="3"/>
      <c r="EL179" s="3"/>
      <c r="EM179" s="3"/>
      <c r="EN179" s="3"/>
      <c r="EP179" s="3"/>
      <c r="EQ179" s="3"/>
      <c r="ER179" s="3"/>
      <c r="ES179" s="3"/>
      <c r="ET179" s="3"/>
      <c r="EV179" s="3"/>
      <c r="EW179" s="3"/>
      <c r="EX179" s="3"/>
      <c r="EY179" s="3"/>
      <c r="EZ179" s="3"/>
      <c r="FB179" s="3"/>
      <c r="FC179" s="3"/>
      <c r="FD179" s="3"/>
      <c r="FE179" s="3"/>
      <c r="FF179" s="3"/>
      <c r="FH179" s="3"/>
      <c r="FI179" s="3"/>
      <c r="FJ179" s="3"/>
      <c r="FK179" s="3"/>
      <c r="FL179" s="3"/>
    </row>
    <row r="180" spans="2:168">
      <c r="C180" s="2"/>
      <c r="D180" s="2"/>
      <c r="E180" s="2"/>
      <c r="F180" s="2"/>
      <c r="H180" s="3"/>
      <c r="I180" s="3"/>
      <c r="J180" s="3"/>
      <c r="K180" s="3"/>
      <c r="L180" s="3"/>
      <c r="N180" s="3"/>
      <c r="O180" s="3"/>
      <c r="P180" s="3"/>
      <c r="Q180" s="3"/>
      <c r="R180" s="3"/>
      <c r="T180" s="3"/>
      <c r="U180" s="3"/>
      <c r="V180" s="3"/>
      <c r="W180" s="3"/>
      <c r="X180" s="3"/>
      <c r="Z180" s="3"/>
      <c r="AA180" s="3"/>
      <c r="AB180" s="3"/>
      <c r="AC180" s="3"/>
      <c r="AD180" s="3"/>
      <c r="AF180" s="3"/>
      <c r="AG180" s="3"/>
      <c r="AH180" s="3"/>
      <c r="AI180" s="3"/>
      <c r="AJ180" s="3"/>
      <c r="AL180" s="3"/>
      <c r="AM180" s="3"/>
      <c r="AN180" s="3"/>
      <c r="AO180" s="3"/>
      <c r="AP180" s="3"/>
      <c r="AR180" s="3"/>
      <c r="AS180" s="3"/>
      <c r="AT180" s="3"/>
      <c r="AU180" s="3"/>
      <c r="AV180" s="3"/>
      <c r="AX180" s="3"/>
      <c r="AY180" s="3"/>
      <c r="AZ180" s="3"/>
      <c r="BA180" s="3"/>
      <c r="BB180" s="3"/>
      <c r="BD180" s="3"/>
      <c r="BE180" s="3"/>
      <c r="BF180" s="3"/>
      <c r="BG180" s="3"/>
      <c r="BH180" s="3"/>
      <c r="BJ180" s="3"/>
      <c r="BK180" s="3"/>
      <c r="BL180" s="3"/>
      <c r="BM180" s="3"/>
      <c r="BN180" s="3"/>
      <c r="CB180" s="4"/>
      <c r="CC180" s="3"/>
      <c r="CD180" s="3"/>
      <c r="CE180" s="3"/>
      <c r="CF180" s="3"/>
      <c r="CH180" s="4"/>
      <c r="CI180" s="3"/>
      <c r="CJ180" s="3"/>
      <c r="CK180" s="3"/>
      <c r="CL180" s="3"/>
      <c r="CN180" s="3"/>
      <c r="CO180" s="3"/>
      <c r="CP180" s="3"/>
      <c r="CQ180" s="3"/>
      <c r="CR180" s="3"/>
      <c r="CT180" s="3"/>
      <c r="CU180" s="3"/>
      <c r="CV180" s="3"/>
      <c r="CW180" s="3"/>
      <c r="CX180" s="3"/>
      <c r="CZ180" s="3"/>
      <c r="DA180" s="3"/>
      <c r="DB180" s="3"/>
      <c r="DC180" s="3"/>
      <c r="DD180" s="3"/>
      <c r="DF180" s="3"/>
      <c r="DG180" s="3"/>
      <c r="DH180" s="3"/>
      <c r="DI180" s="3"/>
      <c r="DJ180" s="3"/>
      <c r="DL180" s="3"/>
      <c r="DM180" s="3"/>
      <c r="DN180" s="3"/>
      <c r="DP180" s="3"/>
      <c r="DR180" s="3"/>
      <c r="DS180" s="3"/>
      <c r="DT180" s="3"/>
      <c r="DU180" s="3"/>
      <c r="DV180" s="3"/>
      <c r="DX180" s="3"/>
      <c r="DY180" s="3"/>
      <c r="DZ180" s="3"/>
      <c r="EA180" s="3"/>
      <c r="EB180" s="3"/>
      <c r="ED180" s="3"/>
      <c r="EE180" s="3"/>
      <c r="EF180" s="3"/>
      <c r="EG180" s="3"/>
      <c r="EH180" s="3"/>
      <c r="EJ180" s="3"/>
      <c r="EK180" s="3"/>
      <c r="EL180" s="3"/>
      <c r="EM180" s="3"/>
      <c r="EN180" s="3"/>
      <c r="EP180" s="3"/>
      <c r="EQ180" s="3"/>
      <c r="ER180" s="3"/>
      <c r="ES180" s="3"/>
      <c r="ET180" s="3"/>
      <c r="EV180" s="3"/>
      <c r="EW180" s="3"/>
      <c r="EX180" s="3"/>
      <c r="EY180" s="3"/>
      <c r="EZ180" s="3"/>
      <c r="FB180" s="3"/>
      <c r="FC180" s="3"/>
      <c r="FD180" s="3"/>
      <c r="FE180" s="3"/>
      <c r="FF180" s="3"/>
      <c r="FH180" s="3"/>
      <c r="FI180" s="3"/>
      <c r="FJ180" s="3"/>
      <c r="FK180" s="3"/>
      <c r="FL180" s="3"/>
    </row>
    <row r="181" spans="2:168">
      <c r="C181" s="2"/>
      <c r="D181" s="2"/>
      <c r="E181" s="2"/>
      <c r="F181" s="2"/>
      <c r="H181" s="3"/>
      <c r="I181" s="3"/>
      <c r="J181" s="3"/>
      <c r="K181" s="3"/>
      <c r="L181" s="3"/>
      <c r="N181" s="3"/>
      <c r="O181" s="3"/>
      <c r="P181" s="3"/>
      <c r="Q181" s="3"/>
      <c r="R181" s="3"/>
      <c r="T181" s="3"/>
      <c r="U181" s="3"/>
      <c r="V181" s="3"/>
      <c r="W181" s="3"/>
      <c r="X181" s="3"/>
      <c r="Z181" s="3"/>
      <c r="AA181" s="3"/>
      <c r="AB181" s="3"/>
      <c r="AC181" s="3"/>
      <c r="AD181" s="3"/>
      <c r="AF181" s="3"/>
      <c r="AG181" s="3"/>
      <c r="AH181" s="3"/>
      <c r="AI181" s="3"/>
      <c r="AJ181" s="3"/>
      <c r="AL181" s="3"/>
      <c r="AM181" s="3"/>
      <c r="AN181" s="3"/>
      <c r="AO181" s="3"/>
      <c r="AP181" s="3"/>
      <c r="AR181" s="3"/>
      <c r="AS181" s="3"/>
      <c r="AT181" s="3"/>
      <c r="AU181" s="3"/>
      <c r="AV181" s="3"/>
      <c r="AX181" s="3"/>
      <c r="AY181" s="3"/>
      <c r="AZ181" s="3"/>
      <c r="BA181" s="3"/>
      <c r="BB181" s="3"/>
      <c r="BD181" s="3"/>
      <c r="BE181" s="3"/>
      <c r="BF181" s="3"/>
      <c r="BG181" s="3"/>
      <c r="BH181" s="3"/>
      <c r="BJ181" s="3"/>
      <c r="BK181" s="3"/>
      <c r="BL181" s="3"/>
      <c r="BM181" s="3"/>
      <c r="BN181" s="3"/>
      <c r="CB181" s="4"/>
      <c r="CC181" s="3"/>
      <c r="CD181" s="3"/>
      <c r="CE181" s="3"/>
      <c r="CF181" s="3"/>
      <c r="CH181" s="4"/>
      <c r="CI181" s="3"/>
      <c r="CJ181" s="3"/>
      <c r="CK181" s="3"/>
      <c r="CL181" s="3"/>
      <c r="CN181" s="3"/>
      <c r="CO181" s="3"/>
      <c r="CP181" s="3"/>
      <c r="CQ181" s="3"/>
      <c r="CR181" s="3"/>
      <c r="CT181" s="3"/>
      <c r="CU181" s="3"/>
      <c r="CV181" s="3"/>
      <c r="CW181" s="3"/>
      <c r="CX181" s="3"/>
      <c r="CZ181" s="3"/>
      <c r="DA181" s="3"/>
      <c r="DB181" s="3"/>
      <c r="DC181" s="3"/>
      <c r="DD181" s="3"/>
      <c r="DF181" s="3"/>
      <c r="DG181" s="3"/>
      <c r="DH181" s="3"/>
      <c r="DI181" s="3"/>
      <c r="DJ181" s="3"/>
      <c r="DL181" s="3"/>
      <c r="DM181" s="3"/>
      <c r="DN181" s="3"/>
      <c r="DP181" s="3"/>
      <c r="DR181" s="3"/>
      <c r="DS181" s="3"/>
      <c r="DT181" s="3"/>
      <c r="DU181" s="3"/>
      <c r="DV181" s="3"/>
      <c r="DX181" s="3"/>
      <c r="DY181" s="3"/>
      <c r="DZ181" s="3"/>
      <c r="EA181" s="3"/>
      <c r="EB181" s="3"/>
      <c r="ED181" s="3"/>
      <c r="EE181" s="3"/>
      <c r="EF181" s="3"/>
      <c r="EG181" s="3"/>
      <c r="EH181" s="3"/>
      <c r="EJ181" s="3"/>
      <c r="EK181" s="3"/>
      <c r="EL181" s="3"/>
      <c r="EM181" s="3"/>
      <c r="EN181" s="3"/>
      <c r="EP181" s="3"/>
      <c r="EQ181" s="3"/>
      <c r="ER181" s="3"/>
      <c r="ES181" s="3"/>
      <c r="ET181" s="3"/>
      <c r="EV181" s="3"/>
      <c r="EW181" s="3"/>
      <c r="EX181" s="3"/>
      <c r="EY181" s="3"/>
      <c r="EZ181" s="3"/>
      <c r="FB181" s="3"/>
      <c r="FC181" s="3"/>
      <c r="FD181" s="3"/>
      <c r="FE181" s="3"/>
      <c r="FF181" s="3"/>
      <c r="FH181" s="3"/>
      <c r="FI181" s="3"/>
      <c r="FJ181" s="3"/>
      <c r="FK181" s="3"/>
      <c r="FL181" s="3"/>
    </row>
    <row r="182" spans="2:168">
      <c r="C182" s="2"/>
      <c r="D182" s="2"/>
      <c r="E182" s="2"/>
      <c r="F182" s="2"/>
      <c r="H182" s="3"/>
      <c r="I182" s="3"/>
      <c r="J182" s="3"/>
      <c r="K182" s="3"/>
      <c r="L182" s="3"/>
      <c r="N182" s="3"/>
      <c r="O182" s="3"/>
      <c r="P182" s="3"/>
      <c r="Q182" s="3"/>
      <c r="R182" s="3"/>
      <c r="T182" s="3"/>
      <c r="U182" s="3"/>
      <c r="V182" s="3"/>
      <c r="W182" s="3"/>
      <c r="X182" s="3"/>
      <c r="Z182" s="3"/>
      <c r="AA182" s="3"/>
      <c r="AB182" s="3"/>
      <c r="AC182" s="3"/>
      <c r="AD182" s="3"/>
      <c r="AF182" s="3"/>
      <c r="AG182" s="3"/>
      <c r="AH182" s="3"/>
      <c r="AI182" s="3"/>
      <c r="AJ182" s="3"/>
      <c r="AL182" s="3"/>
      <c r="AM182" s="3"/>
      <c r="AN182" s="3"/>
      <c r="AO182" s="3"/>
      <c r="AP182" s="3"/>
      <c r="AR182" s="3"/>
      <c r="AS182" s="3"/>
      <c r="AT182" s="3"/>
      <c r="AU182" s="3"/>
      <c r="AV182" s="3"/>
      <c r="AX182" s="3"/>
      <c r="AY182" s="3"/>
      <c r="AZ182" s="3"/>
      <c r="BA182" s="3"/>
      <c r="BB182" s="3"/>
      <c r="BD182" s="3"/>
      <c r="BE182" s="3"/>
      <c r="BF182" s="3"/>
      <c r="BG182" s="3"/>
      <c r="BH182" s="3"/>
      <c r="BJ182" s="3"/>
      <c r="BK182" s="3"/>
      <c r="BL182" s="3"/>
      <c r="BM182" s="3"/>
      <c r="BN182" s="3"/>
      <c r="CB182" s="4"/>
      <c r="CC182" s="3"/>
      <c r="CD182" s="3"/>
      <c r="CE182" s="3"/>
      <c r="CF182" s="3"/>
      <c r="CH182" s="4"/>
      <c r="CI182" s="3"/>
      <c r="CJ182" s="3"/>
      <c r="CK182" s="3"/>
      <c r="CL182" s="3"/>
      <c r="CN182" s="3"/>
      <c r="CO182" s="3"/>
      <c r="CP182" s="3"/>
      <c r="CQ182" s="3"/>
      <c r="CR182" s="3"/>
      <c r="CT182" s="3"/>
      <c r="CU182" s="3"/>
      <c r="CV182" s="3"/>
      <c r="CW182" s="3"/>
      <c r="CX182" s="3"/>
      <c r="CZ182" s="3"/>
      <c r="DA182" s="3"/>
      <c r="DB182" s="3"/>
      <c r="DC182" s="3"/>
      <c r="DD182" s="3"/>
      <c r="DF182" s="3"/>
      <c r="DG182" s="3"/>
      <c r="DH182" s="3"/>
      <c r="DI182" s="3"/>
      <c r="DJ182" s="3"/>
      <c r="DL182" s="3"/>
      <c r="DM182" s="3"/>
      <c r="DN182" s="3"/>
      <c r="DP182" s="3"/>
      <c r="DR182" s="3"/>
      <c r="DS182" s="3"/>
      <c r="DT182" s="3"/>
      <c r="DU182" s="3"/>
      <c r="DV182" s="3"/>
      <c r="DX182" s="3"/>
      <c r="DY182" s="3"/>
      <c r="DZ182" s="3"/>
      <c r="EA182" s="3"/>
      <c r="EB182" s="3"/>
      <c r="ED182" s="3"/>
      <c r="EE182" s="3"/>
      <c r="EF182" s="3"/>
      <c r="EG182" s="3"/>
      <c r="EH182" s="3"/>
      <c r="EJ182" s="3"/>
      <c r="EK182" s="3"/>
      <c r="EL182" s="3"/>
      <c r="EM182" s="3"/>
      <c r="EN182" s="3"/>
      <c r="EP182" s="3"/>
      <c r="EQ182" s="3"/>
      <c r="ER182" s="3"/>
      <c r="ES182" s="3"/>
      <c r="ET182" s="3"/>
      <c r="EV182" s="3"/>
      <c r="EW182" s="3"/>
      <c r="EX182" s="3"/>
      <c r="EY182" s="3"/>
      <c r="EZ182" s="3"/>
      <c r="FB182" s="3"/>
      <c r="FC182" s="3"/>
      <c r="FD182" s="3"/>
      <c r="FE182" s="3"/>
      <c r="FF182" s="3"/>
      <c r="FH182" s="3"/>
      <c r="FI182" s="3"/>
      <c r="FJ182" s="3"/>
      <c r="FK182" s="3"/>
      <c r="FL182" s="3"/>
    </row>
    <row r="183" spans="2:168">
      <c r="C183" s="2"/>
      <c r="D183" s="2"/>
      <c r="E183" s="2"/>
      <c r="F183" s="2"/>
      <c r="H183" s="3"/>
      <c r="I183" s="3"/>
      <c r="J183" s="3"/>
      <c r="K183" s="3"/>
      <c r="L183" s="3"/>
      <c r="N183" s="3"/>
      <c r="O183" s="3"/>
      <c r="P183" s="3"/>
      <c r="Q183" s="3"/>
      <c r="R183" s="3"/>
      <c r="T183" s="3"/>
      <c r="U183" s="3"/>
      <c r="V183" s="3"/>
      <c r="W183" s="3"/>
      <c r="X183" s="3"/>
      <c r="Z183" s="3"/>
      <c r="AA183" s="3"/>
      <c r="AB183" s="3"/>
      <c r="AC183" s="3"/>
      <c r="AD183" s="3"/>
      <c r="AF183" s="3"/>
      <c r="AG183" s="3"/>
      <c r="AH183" s="3"/>
      <c r="AI183" s="3"/>
      <c r="AJ183" s="3"/>
      <c r="AL183" s="3"/>
      <c r="AM183" s="3"/>
      <c r="AN183" s="3"/>
      <c r="AO183" s="3"/>
      <c r="AP183" s="3"/>
      <c r="AR183" s="3"/>
      <c r="AS183" s="3"/>
      <c r="AT183" s="3"/>
      <c r="AU183" s="3"/>
      <c r="AV183" s="3"/>
      <c r="AX183" s="3"/>
      <c r="AY183" s="3"/>
      <c r="AZ183" s="3"/>
      <c r="BA183" s="3"/>
      <c r="BB183" s="3"/>
      <c r="BD183" s="3"/>
      <c r="BE183" s="3"/>
      <c r="BF183" s="3"/>
      <c r="BG183" s="3"/>
      <c r="BH183" s="3"/>
      <c r="BJ183" s="3"/>
      <c r="BK183" s="3"/>
      <c r="BL183" s="3"/>
      <c r="BM183" s="3"/>
      <c r="BN183" s="3"/>
      <c r="CB183" s="4"/>
      <c r="CC183" s="3"/>
      <c r="CD183" s="3"/>
      <c r="CE183" s="3"/>
      <c r="CF183" s="3"/>
      <c r="CH183" s="4"/>
      <c r="CI183" s="3"/>
      <c r="CJ183" s="3"/>
      <c r="CK183" s="3"/>
      <c r="CL183" s="3"/>
      <c r="CN183" s="3"/>
      <c r="CO183" s="3"/>
      <c r="CP183" s="3"/>
      <c r="CQ183" s="3"/>
      <c r="CR183" s="3"/>
      <c r="CT183" s="3"/>
      <c r="CU183" s="3"/>
      <c r="CV183" s="3"/>
      <c r="CW183" s="3"/>
      <c r="CX183" s="3"/>
      <c r="CZ183" s="3"/>
      <c r="DA183" s="3"/>
      <c r="DB183" s="3"/>
      <c r="DC183" s="3"/>
      <c r="DD183" s="3"/>
      <c r="DF183" s="3"/>
      <c r="DG183" s="3"/>
      <c r="DH183" s="3"/>
      <c r="DI183" s="3"/>
      <c r="DJ183" s="3"/>
      <c r="DL183" s="3"/>
      <c r="DM183" s="3"/>
      <c r="DN183" s="3"/>
      <c r="DP183" s="3"/>
      <c r="DR183" s="3"/>
      <c r="DS183" s="3"/>
      <c r="DT183" s="3"/>
      <c r="DU183" s="3"/>
      <c r="DV183" s="3"/>
      <c r="DX183" s="3"/>
      <c r="DY183" s="3"/>
      <c r="DZ183" s="3"/>
      <c r="EA183" s="3"/>
      <c r="EB183" s="3"/>
      <c r="ED183" s="3"/>
      <c r="EE183" s="3"/>
      <c r="EF183" s="3"/>
      <c r="EG183" s="3"/>
      <c r="EH183" s="3"/>
      <c r="EJ183" s="3"/>
      <c r="EK183" s="3"/>
      <c r="EL183" s="3"/>
      <c r="EM183" s="3"/>
      <c r="EN183" s="3"/>
      <c r="EP183" s="3"/>
      <c r="EQ183" s="3"/>
      <c r="ER183" s="3"/>
      <c r="ES183" s="3"/>
      <c r="ET183" s="3"/>
      <c r="EV183" s="3"/>
      <c r="EW183" s="3"/>
      <c r="EX183" s="3"/>
      <c r="EY183" s="3"/>
      <c r="EZ183" s="3"/>
      <c r="FB183" s="3"/>
      <c r="FC183" s="3"/>
      <c r="FD183" s="3"/>
      <c r="FE183" s="3"/>
      <c r="FF183" s="3"/>
      <c r="FH183" s="3"/>
      <c r="FI183" s="3"/>
      <c r="FJ183" s="3"/>
      <c r="FK183" s="3"/>
      <c r="FL183" s="3"/>
    </row>
    <row r="184" spans="2:168">
      <c r="C184" s="2"/>
      <c r="D184" s="2"/>
      <c r="E184" s="2"/>
      <c r="F184" s="2"/>
      <c r="H184" s="3"/>
      <c r="I184" s="3"/>
      <c r="J184" s="3"/>
      <c r="K184" s="3"/>
      <c r="L184" s="3"/>
      <c r="N184" s="3"/>
      <c r="O184" s="3"/>
      <c r="P184" s="3"/>
      <c r="Q184" s="3"/>
      <c r="R184" s="3"/>
      <c r="T184" s="3"/>
      <c r="U184" s="3"/>
      <c r="V184" s="3"/>
      <c r="W184" s="3"/>
      <c r="X184" s="3"/>
      <c r="Z184" s="3"/>
      <c r="AA184" s="3"/>
      <c r="AB184" s="3"/>
      <c r="AC184" s="3"/>
      <c r="AD184" s="3"/>
      <c r="AF184" s="3"/>
      <c r="AG184" s="3"/>
      <c r="AH184" s="3"/>
      <c r="AI184" s="3"/>
      <c r="AJ184" s="3"/>
      <c r="AL184" s="3"/>
      <c r="AM184" s="3"/>
      <c r="AN184" s="3"/>
      <c r="AO184" s="3"/>
      <c r="AP184" s="3"/>
      <c r="AR184" s="3"/>
      <c r="AS184" s="3"/>
      <c r="AT184" s="3"/>
      <c r="AU184" s="3"/>
      <c r="AV184" s="3"/>
      <c r="AX184" s="3"/>
      <c r="AY184" s="3"/>
      <c r="AZ184" s="3"/>
      <c r="BA184" s="3"/>
      <c r="BB184" s="3"/>
      <c r="BD184" s="3"/>
      <c r="BE184" s="3"/>
      <c r="BF184" s="3"/>
      <c r="BG184" s="3"/>
      <c r="BH184" s="3"/>
      <c r="BJ184" s="3"/>
      <c r="BK184" s="3"/>
      <c r="BL184" s="3"/>
      <c r="BM184" s="3"/>
      <c r="BN184" s="3"/>
      <c r="CB184" s="4"/>
      <c r="CC184" s="3"/>
      <c r="CD184" s="3"/>
      <c r="CE184" s="3"/>
      <c r="CF184" s="3"/>
      <c r="CH184" s="4"/>
      <c r="CI184" s="3"/>
      <c r="CJ184" s="3"/>
      <c r="CK184" s="3"/>
      <c r="CL184" s="3"/>
      <c r="CN184" s="3"/>
      <c r="CO184" s="3"/>
      <c r="CP184" s="3"/>
      <c r="CQ184" s="3"/>
      <c r="CR184" s="3"/>
      <c r="CT184" s="3"/>
      <c r="CU184" s="3"/>
      <c r="CV184" s="3"/>
      <c r="CW184" s="3"/>
      <c r="CX184" s="3"/>
      <c r="CZ184" s="3"/>
      <c r="DA184" s="3"/>
      <c r="DB184" s="3"/>
      <c r="DC184" s="3"/>
      <c r="DD184" s="3"/>
      <c r="DF184" s="3"/>
      <c r="DG184" s="3"/>
      <c r="DH184" s="3"/>
      <c r="DI184" s="3"/>
      <c r="DJ184" s="3"/>
      <c r="DL184" s="3"/>
      <c r="DM184" s="3"/>
      <c r="DN184" s="3"/>
      <c r="DP184" s="3"/>
      <c r="DR184" s="3"/>
      <c r="DS184" s="3"/>
      <c r="DT184" s="3"/>
      <c r="DU184" s="3"/>
      <c r="DV184" s="3"/>
      <c r="DX184" s="3"/>
      <c r="DY184" s="3"/>
      <c r="DZ184" s="3"/>
      <c r="EA184" s="3"/>
      <c r="EB184" s="3"/>
      <c r="ED184" s="3"/>
      <c r="EE184" s="3"/>
      <c r="EF184" s="3"/>
      <c r="EG184" s="3"/>
      <c r="EH184" s="3"/>
      <c r="EJ184" s="3"/>
      <c r="EK184" s="3"/>
      <c r="EL184" s="3"/>
      <c r="EM184" s="3"/>
      <c r="EN184" s="3"/>
      <c r="EP184" s="3"/>
      <c r="EQ184" s="3"/>
      <c r="ER184" s="3"/>
      <c r="ES184" s="3"/>
      <c r="ET184" s="3"/>
      <c r="EV184" s="3"/>
      <c r="EW184" s="3"/>
      <c r="EX184" s="3"/>
      <c r="EY184" s="3"/>
      <c r="EZ184" s="3"/>
      <c r="FB184" s="3"/>
      <c r="FC184" s="3"/>
      <c r="FD184" s="3"/>
      <c r="FE184" s="3"/>
      <c r="FF184" s="3"/>
      <c r="FH184" s="3"/>
      <c r="FI184" s="3"/>
      <c r="FJ184" s="3"/>
      <c r="FK184" s="3"/>
      <c r="FL184" s="3"/>
    </row>
    <row r="185" spans="2:168">
      <c r="C185" s="2"/>
      <c r="D185" s="2"/>
      <c r="E185" s="2"/>
      <c r="F185" s="2"/>
      <c r="H185" s="3"/>
      <c r="I185" s="3"/>
      <c r="J185" s="3"/>
      <c r="K185" s="3"/>
      <c r="L185" s="3"/>
      <c r="N185" s="3"/>
      <c r="O185" s="3"/>
      <c r="P185" s="3"/>
      <c r="Q185" s="3"/>
      <c r="R185" s="3"/>
      <c r="T185" s="3"/>
      <c r="U185" s="3"/>
      <c r="V185" s="3"/>
      <c r="W185" s="3"/>
      <c r="X185" s="3"/>
      <c r="Z185" s="3"/>
      <c r="AA185" s="3"/>
      <c r="AB185" s="3"/>
      <c r="AC185" s="3"/>
      <c r="AD185" s="3"/>
      <c r="AF185" s="3"/>
      <c r="AG185" s="3"/>
      <c r="AH185" s="3"/>
      <c r="AI185" s="3"/>
      <c r="AJ185" s="3"/>
      <c r="AL185" s="3"/>
      <c r="AM185" s="3"/>
      <c r="AN185" s="3"/>
      <c r="AO185" s="3"/>
      <c r="AP185" s="3"/>
      <c r="AR185" s="3"/>
      <c r="AS185" s="3"/>
      <c r="AT185" s="3"/>
      <c r="AU185" s="3"/>
      <c r="AV185" s="3"/>
      <c r="AX185" s="3"/>
      <c r="AY185" s="3"/>
      <c r="AZ185" s="3"/>
      <c r="BA185" s="3"/>
      <c r="BB185" s="3"/>
      <c r="BD185" s="3"/>
      <c r="BE185" s="3"/>
      <c r="BF185" s="3"/>
      <c r="BG185" s="3"/>
      <c r="BH185" s="3"/>
      <c r="BJ185" s="3"/>
      <c r="BK185" s="3"/>
      <c r="BL185" s="3"/>
      <c r="BM185" s="3"/>
      <c r="BN185" s="3"/>
      <c r="CB185" s="4"/>
      <c r="CC185" s="3"/>
      <c r="CD185" s="3"/>
      <c r="CE185" s="3"/>
      <c r="CF185" s="3"/>
      <c r="CH185" s="4"/>
      <c r="CI185" s="3"/>
      <c r="CJ185" s="3"/>
      <c r="CK185" s="3"/>
      <c r="CL185" s="3"/>
      <c r="CN185" s="3"/>
      <c r="CO185" s="3"/>
      <c r="CP185" s="3"/>
      <c r="CQ185" s="3"/>
      <c r="CR185" s="3"/>
      <c r="CT185" s="3"/>
      <c r="CU185" s="3"/>
      <c r="CV185" s="3"/>
      <c r="CW185" s="3"/>
      <c r="CX185" s="3"/>
      <c r="CZ185" s="3"/>
      <c r="DA185" s="3"/>
      <c r="DB185" s="3"/>
      <c r="DC185" s="3"/>
      <c r="DD185" s="3"/>
      <c r="DF185" s="3"/>
      <c r="DG185" s="3"/>
      <c r="DH185" s="3"/>
      <c r="DI185" s="3"/>
      <c r="DJ185" s="3"/>
      <c r="DL185" s="3"/>
      <c r="DM185" s="3"/>
      <c r="DN185" s="3"/>
      <c r="DP185" s="3"/>
      <c r="DR185" s="3"/>
      <c r="DS185" s="3"/>
      <c r="DT185" s="3"/>
      <c r="DU185" s="3"/>
      <c r="DV185" s="3"/>
      <c r="DX185" s="3"/>
      <c r="DY185" s="3"/>
      <c r="DZ185" s="3"/>
      <c r="EA185" s="3"/>
      <c r="EB185" s="3"/>
      <c r="ED185" s="3"/>
      <c r="EE185" s="3"/>
      <c r="EF185" s="3"/>
      <c r="EG185" s="3"/>
      <c r="EH185" s="3"/>
      <c r="EJ185" s="3"/>
      <c r="EK185" s="3"/>
      <c r="EL185" s="3"/>
      <c r="EM185" s="3"/>
      <c r="EN185" s="3"/>
      <c r="EP185" s="3"/>
      <c r="EQ185" s="3"/>
      <c r="ER185" s="3"/>
      <c r="ES185" s="3"/>
      <c r="ET185" s="3"/>
      <c r="EV185" s="3"/>
      <c r="EW185" s="3"/>
      <c r="EX185" s="3"/>
      <c r="EY185" s="3"/>
      <c r="EZ185" s="3"/>
      <c r="FB185" s="3"/>
      <c r="FC185" s="3"/>
      <c r="FD185" s="3"/>
      <c r="FE185" s="3"/>
      <c r="FF185" s="3"/>
      <c r="FH185" s="3"/>
      <c r="FI185" s="3"/>
      <c r="FJ185" s="3"/>
      <c r="FK185" s="3"/>
      <c r="FL185" s="3"/>
    </row>
    <row r="186" spans="2:168">
      <c r="C186" s="2"/>
      <c r="D186" s="2"/>
      <c r="E186" s="2"/>
      <c r="F186" s="2"/>
      <c r="H186" s="3"/>
      <c r="I186" s="3"/>
      <c r="J186" s="3"/>
      <c r="K186" s="3"/>
      <c r="L186" s="3"/>
      <c r="N186" s="3"/>
      <c r="O186" s="3"/>
      <c r="P186" s="3"/>
      <c r="Q186" s="3"/>
      <c r="R186" s="3"/>
      <c r="T186" s="3"/>
      <c r="U186" s="3"/>
      <c r="V186" s="3"/>
      <c r="W186" s="3"/>
      <c r="X186" s="3"/>
      <c r="Z186" s="3"/>
      <c r="AA186" s="3"/>
      <c r="AB186" s="3"/>
      <c r="AC186" s="3"/>
      <c r="AD186" s="3"/>
      <c r="AF186" s="3"/>
      <c r="AG186" s="3"/>
      <c r="AH186" s="3"/>
      <c r="AI186" s="3"/>
      <c r="AJ186" s="3"/>
      <c r="AL186" s="3"/>
      <c r="AM186" s="3"/>
      <c r="AN186" s="3"/>
      <c r="AO186" s="3"/>
      <c r="AP186" s="3"/>
      <c r="AR186" s="3"/>
      <c r="AS186" s="3"/>
      <c r="AT186" s="3"/>
      <c r="AU186" s="3"/>
      <c r="AV186" s="3"/>
      <c r="AX186" s="3"/>
      <c r="AY186" s="3"/>
      <c r="AZ186" s="3"/>
      <c r="BA186" s="3"/>
      <c r="BB186" s="3"/>
      <c r="BD186" s="3"/>
      <c r="BE186" s="3"/>
      <c r="BF186" s="3"/>
      <c r="BG186" s="3"/>
      <c r="BH186" s="3"/>
      <c r="BJ186" s="3"/>
      <c r="BK186" s="3"/>
      <c r="BL186" s="3"/>
      <c r="BM186" s="3"/>
      <c r="BN186" s="3"/>
      <c r="CB186" s="4"/>
      <c r="CC186" s="3"/>
      <c r="CD186" s="3"/>
      <c r="CE186" s="3"/>
      <c r="CF186" s="3"/>
      <c r="CH186" s="4"/>
      <c r="CI186" s="3"/>
      <c r="CJ186" s="3"/>
      <c r="CK186" s="3"/>
      <c r="CL186" s="3"/>
      <c r="CN186" s="3"/>
      <c r="CO186" s="3"/>
      <c r="CP186" s="3"/>
      <c r="CQ186" s="3"/>
      <c r="CR186" s="3"/>
      <c r="CT186" s="3"/>
      <c r="CU186" s="3"/>
      <c r="CV186" s="3"/>
      <c r="CW186" s="3"/>
      <c r="CX186" s="3"/>
      <c r="CZ186" s="3"/>
      <c r="DA186" s="3"/>
      <c r="DB186" s="3"/>
      <c r="DC186" s="3"/>
      <c r="DD186" s="3"/>
      <c r="DF186" s="3"/>
      <c r="DG186" s="3"/>
      <c r="DH186" s="3"/>
      <c r="DI186" s="3"/>
      <c r="DJ186" s="3"/>
      <c r="DL186" s="3"/>
      <c r="DM186" s="3"/>
      <c r="DN186" s="3"/>
      <c r="DP186" s="3"/>
      <c r="DR186" s="3"/>
      <c r="DS186" s="3"/>
      <c r="DT186" s="3"/>
      <c r="DU186" s="3"/>
      <c r="DV186" s="3"/>
      <c r="DX186" s="3"/>
      <c r="DY186" s="3"/>
      <c r="DZ186" s="3"/>
      <c r="EA186" s="3"/>
      <c r="EB186" s="3"/>
      <c r="ED186" s="3"/>
      <c r="EE186" s="3"/>
      <c r="EF186" s="3"/>
      <c r="EG186" s="3"/>
      <c r="EH186" s="3"/>
      <c r="EJ186" s="3"/>
      <c r="EK186" s="3"/>
      <c r="EL186" s="3"/>
      <c r="EM186" s="3"/>
      <c r="EN186" s="3"/>
      <c r="EP186" s="3"/>
      <c r="EQ186" s="3"/>
      <c r="ER186" s="3"/>
      <c r="ES186" s="3"/>
      <c r="ET186" s="3"/>
      <c r="EV186" s="3"/>
      <c r="EW186" s="3"/>
      <c r="EX186" s="3"/>
      <c r="EY186" s="3"/>
      <c r="EZ186" s="3"/>
      <c r="FB186" s="3"/>
      <c r="FC186" s="3"/>
      <c r="FD186" s="3"/>
      <c r="FE186" s="3"/>
      <c r="FF186" s="3"/>
      <c r="FH186" s="3"/>
      <c r="FI186" s="3"/>
      <c r="FJ186" s="3"/>
      <c r="FK186" s="3"/>
      <c r="FL186" s="3"/>
    </row>
    <row r="187" spans="2:168">
      <c r="C187" s="2"/>
      <c r="D187" s="2"/>
      <c r="E187" s="2"/>
      <c r="F187" s="2"/>
      <c r="H187" s="3"/>
      <c r="I187" s="3"/>
      <c r="J187" s="3"/>
      <c r="K187" s="3"/>
      <c r="L187" s="3"/>
      <c r="N187" s="3"/>
      <c r="O187" s="3"/>
      <c r="P187" s="3"/>
      <c r="Q187" s="3"/>
      <c r="R187" s="3"/>
      <c r="T187" s="3"/>
      <c r="U187" s="3"/>
      <c r="V187" s="3"/>
      <c r="W187" s="3"/>
      <c r="X187" s="3"/>
      <c r="Z187" s="3"/>
      <c r="AA187" s="3"/>
      <c r="AB187" s="3"/>
      <c r="AC187" s="3"/>
      <c r="AD187" s="3"/>
      <c r="AF187" s="3"/>
      <c r="AG187" s="3"/>
      <c r="AH187" s="3"/>
      <c r="AI187" s="3"/>
      <c r="AJ187" s="3"/>
      <c r="AL187" s="3"/>
      <c r="AM187" s="3"/>
      <c r="AN187" s="3"/>
      <c r="AO187" s="3"/>
      <c r="AP187" s="3"/>
      <c r="AR187" s="3"/>
      <c r="AS187" s="3"/>
      <c r="AT187" s="3"/>
      <c r="AU187" s="3"/>
      <c r="AV187" s="3"/>
      <c r="AX187" s="3"/>
      <c r="AY187" s="3"/>
      <c r="AZ187" s="3"/>
      <c r="BA187" s="3"/>
      <c r="BB187" s="3"/>
      <c r="BD187" s="3"/>
      <c r="BE187" s="3"/>
      <c r="BF187" s="3"/>
      <c r="BG187" s="3"/>
      <c r="BH187" s="3"/>
      <c r="BJ187" s="3"/>
      <c r="BK187" s="3"/>
      <c r="BL187" s="3"/>
      <c r="BM187" s="3"/>
      <c r="BN187" s="3"/>
      <c r="CB187" s="4"/>
      <c r="CC187" s="3"/>
      <c r="CD187" s="3"/>
      <c r="CE187" s="3"/>
      <c r="CF187" s="3"/>
      <c r="CH187" s="4"/>
      <c r="CI187" s="3"/>
      <c r="CJ187" s="3"/>
      <c r="CK187" s="3"/>
      <c r="CL187" s="3"/>
      <c r="CN187" s="3"/>
      <c r="CO187" s="3"/>
      <c r="CP187" s="3"/>
      <c r="CQ187" s="3"/>
      <c r="CR187" s="3"/>
      <c r="CT187" s="3"/>
      <c r="CU187" s="3"/>
      <c r="CV187" s="3"/>
      <c r="CW187" s="3"/>
      <c r="CX187" s="3"/>
      <c r="CZ187" s="3"/>
      <c r="DA187" s="3"/>
      <c r="DB187" s="3"/>
      <c r="DC187" s="3"/>
      <c r="DD187" s="3"/>
      <c r="DF187" s="3"/>
      <c r="DG187" s="3"/>
      <c r="DH187" s="3"/>
      <c r="DI187" s="3"/>
      <c r="DJ187" s="3"/>
      <c r="DL187" s="3"/>
      <c r="DM187" s="3"/>
      <c r="DN187" s="3"/>
      <c r="DP187" s="3"/>
      <c r="DR187" s="3"/>
      <c r="DS187" s="3"/>
      <c r="DT187" s="3"/>
      <c r="DU187" s="3"/>
      <c r="DV187" s="3"/>
      <c r="DX187" s="3"/>
      <c r="DY187" s="3"/>
      <c r="DZ187" s="3"/>
      <c r="EA187" s="3"/>
      <c r="EB187" s="3"/>
      <c r="ED187" s="3"/>
      <c r="EE187" s="3"/>
      <c r="EF187" s="3"/>
      <c r="EG187" s="3"/>
      <c r="EH187" s="3"/>
      <c r="EJ187" s="3"/>
      <c r="EK187" s="3"/>
      <c r="EL187" s="3"/>
      <c r="EM187" s="3"/>
      <c r="EN187" s="3"/>
      <c r="EP187" s="3"/>
      <c r="EQ187" s="3"/>
      <c r="ER187" s="3"/>
      <c r="ES187" s="3"/>
      <c r="ET187" s="3"/>
      <c r="EV187" s="3"/>
      <c r="EW187" s="3"/>
      <c r="EX187" s="3"/>
      <c r="EY187" s="3"/>
      <c r="EZ187" s="3"/>
      <c r="FB187" s="3"/>
      <c r="FC187" s="3"/>
      <c r="FD187" s="3"/>
      <c r="FE187" s="3"/>
      <c r="FF187" s="3"/>
      <c r="FH187" s="3"/>
      <c r="FI187" s="3"/>
      <c r="FJ187" s="3"/>
      <c r="FK187" s="3"/>
      <c r="FL187" s="3"/>
    </row>
    <row r="188" spans="2:168">
      <c r="C188" s="2"/>
      <c r="D188" s="2"/>
      <c r="E188" s="2"/>
      <c r="F188" s="2"/>
      <c r="H188" s="3"/>
      <c r="I188" s="3"/>
      <c r="J188" s="3"/>
      <c r="K188" s="3"/>
      <c r="L188" s="3"/>
      <c r="N188" s="3"/>
      <c r="O188" s="3"/>
      <c r="P188" s="3"/>
      <c r="Q188" s="3"/>
      <c r="R188" s="3"/>
      <c r="T188" s="3"/>
      <c r="U188" s="3"/>
      <c r="V188" s="3"/>
      <c r="W188" s="3"/>
      <c r="X188" s="3"/>
      <c r="Z188" s="3"/>
      <c r="AA188" s="3"/>
      <c r="AB188" s="3"/>
      <c r="AC188" s="3"/>
      <c r="AD188" s="3"/>
      <c r="AF188" s="3"/>
      <c r="AG188" s="3"/>
      <c r="AH188" s="3"/>
      <c r="AI188" s="3"/>
      <c r="AJ188" s="3"/>
      <c r="AL188" s="3"/>
      <c r="AM188" s="3"/>
      <c r="AN188" s="3"/>
      <c r="AO188" s="3"/>
      <c r="AP188" s="3"/>
      <c r="AR188" s="3"/>
      <c r="AS188" s="3"/>
      <c r="AT188" s="3"/>
      <c r="AU188" s="3"/>
      <c r="AV188" s="3"/>
      <c r="AX188" s="3"/>
      <c r="AY188" s="3"/>
      <c r="AZ188" s="3"/>
      <c r="BA188" s="3"/>
      <c r="BB188" s="3"/>
      <c r="BD188" s="3"/>
      <c r="BE188" s="3"/>
      <c r="BF188" s="3"/>
      <c r="BG188" s="3"/>
      <c r="BH188" s="3"/>
      <c r="BJ188" s="3"/>
      <c r="BK188" s="3"/>
      <c r="BL188" s="3"/>
      <c r="BM188" s="3"/>
      <c r="BN188" s="3"/>
      <c r="CB188" s="4"/>
      <c r="CC188" s="3"/>
      <c r="CD188" s="3"/>
      <c r="CE188" s="3"/>
      <c r="CF188" s="3"/>
      <c r="CH188" s="4"/>
      <c r="CI188" s="3"/>
      <c r="CJ188" s="3"/>
      <c r="CK188" s="3"/>
      <c r="CL188" s="3"/>
      <c r="CN188" s="3"/>
      <c r="CO188" s="3"/>
      <c r="CP188" s="3"/>
      <c r="CQ188" s="3"/>
      <c r="CR188" s="3"/>
      <c r="CT188" s="3"/>
      <c r="CU188" s="3"/>
      <c r="CV188" s="3"/>
      <c r="CW188" s="3"/>
      <c r="CX188" s="3"/>
      <c r="CZ188" s="3"/>
      <c r="DA188" s="3"/>
      <c r="DB188" s="3"/>
      <c r="DC188" s="3"/>
      <c r="DD188" s="3"/>
      <c r="DF188" s="3"/>
      <c r="DG188" s="3"/>
      <c r="DH188" s="3"/>
      <c r="DI188" s="3"/>
      <c r="DJ188" s="3"/>
      <c r="DL188" s="3"/>
      <c r="DM188" s="3"/>
      <c r="DN188" s="3"/>
      <c r="DP188" s="3"/>
      <c r="DR188" s="3"/>
      <c r="DS188" s="3"/>
      <c r="DT188" s="3"/>
      <c r="DU188" s="3"/>
      <c r="DV188" s="3"/>
      <c r="DX188" s="3"/>
      <c r="DY188" s="3"/>
      <c r="DZ188" s="3"/>
      <c r="EA188" s="3"/>
      <c r="EB188" s="3"/>
      <c r="ED188" s="3"/>
      <c r="EE188" s="3"/>
      <c r="EF188" s="3"/>
      <c r="EG188" s="3"/>
      <c r="EH188" s="3"/>
      <c r="EJ188" s="3"/>
      <c r="EK188" s="3"/>
      <c r="EL188" s="3"/>
      <c r="EM188" s="3"/>
      <c r="EN188" s="3"/>
      <c r="EP188" s="3"/>
      <c r="EQ188" s="3"/>
      <c r="ER188" s="3"/>
      <c r="ES188" s="3"/>
      <c r="ET188" s="3"/>
      <c r="EV188" s="3"/>
      <c r="EW188" s="3"/>
      <c r="EX188" s="3"/>
      <c r="EY188" s="3"/>
      <c r="EZ188" s="3"/>
      <c r="FB188" s="3"/>
      <c r="FC188" s="3"/>
      <c r="FD188" s="3"/>
      <c r="FE188" s="3"/>
      <c r="FF188" s="3"/>
      <c r="FH188" s="3"/>
      <c r="FI188" s="3"/>
      <c r="FJ188" s="3"/>
      <c r="FK188" s="3"/>
      <c r="FL188" s="3"/>
    </row>
    <row r="189" spans="2:168">
      <c r="C189" s="2"/>
      <c r="D189" s="2"/>
      <c r="E189" s="2"/>
      <c r="F189" s="2"/>
      <c r="H189" s="3"/>
      <c r="I189" s="3"/>
      <c r="J189" s="3"/>
      <c r="K189" s="3"/>
      <c r="L189" s="3"/>
      <c r="N189" s="3"/>
      <c r="O189" s="3"/>
      <c r="P189" s="3"/>
      <c r="Q189" s="3"/>
      <c r="R189" s="3"/>
      <c r="T189" s="3"/>
      <c r="U189" s="3"/>
      <c r="V189" s="3"/>
      <c r="W189" s="3"/>
      <c r="X189" s="3"/>
      <c r="Z189" s="3"/>
      <c r="AA189" s="3"/>
      <c r="AB189" s="3"/>
      <c r="AC189" s="3"/>
      <c r="AD189" s="3"/>
      <c r="AF189" s="3"/>
      <c r="AG189" s="3"/>
      <c r="AH189" s="3"/>
      <c r="AI189" s="3"/>
      <c r="AJ189" s="3"/>
      <c r="AL189" s="3"/>
      <c r="AM189" s="3"/>
      <c r="AN189" s="3"/>
      <c r="AO189" s="3"/>
      <c r="AP189" s="3"/>
      <c r="AR189" s="3"/>
      <c r="AS189" s="3"/>
      <c r="AT189" s="3"/>
      <c r="AU189" s="3"/>
      <c r="AV189" s="3"/>
      <c r="AX189" s="3"/>
      <c r="AY189" s="3"/>
      <c r="AZ189" s="3"/>
      <c r="BA189" s="3"/>
      <c r="BB189" s="3"/>
      <c r="BD189" s="3"/>
      <c r="BE189" s="3"/>
      <c r="BF189" s="3"/>
      <c r="BG189" s="3"/>
      <c r="BH189" s="3"/>
      <c r="BJ189" s="3"/>
      <c r="BK189" s="3"/>
      <c r="BL189" s="3"/>
      <c r="BM189" s="3"/>
      <c r="BN189" s="3"/>
      <c r="CB189" s="4"/>
      <c r="CC189" s="3"/>
      <c r="CD189" s="3"/>
      <c r="CE189" s="3"/>
      <c r="CF189" s="3"/>
      <c r="CH189" s="4"/>
      <c r="CI189" s="3"/>
      <c r="CJ189" s="3"/>
      <c r="CK189" s="3"/>
      <c r="CL189" s="3"/>
      <c r="CN189" s="3"/>
      <c r="CO189" s="3"/>
      <c r="CP189" s="3"/>
      <c r="CQ189" s="3"/>
      <c r="CR189" s="3"/>
      <c r="CT189" s="3"/>
      <c r="CU189" s="3"/>
      <c r="CV189" s="3"/>
      <c r="CW189" s="3"/>
      <c r="CX189" s="3"/>
      <c r="CZ189" s="3"/>
      <c r="DA189" s="3"/>
      <c r="DB189" s="3"/>
      <c r="DC189" s="3"/>
      <c r="DD189" s="3"/>
      <c r="DF189" s="3"/>
      <c r="DG189" s="3"/>
      <c r="DH189" s="3"/>
      <c r="DI189" s="3"/>
      <c r="DJ189" s="3"/>
      <c r="DL189" s="3"/>
      <c r="DM189" s="3"/>
      <c r="DN189" s="3"/>
      <c r="DP189" s="3"/>
      <c r="DR189" s="3"/>
      <c r="DS189" s="3"/>
      <c r="DT189" s="3"/>
      <c r="DU189" s="3"/>
      <c r="DV189" s="3"/>
      <c r="DX189" s="3"/>
      <c r="DY189" s="3"/>
      <c r="DZ189" s="3"/>
      <c r="EA189" s="3"/>
      <c r="EB189" s="3"/>
      <c r="ED189" s="3"/>
      <c r="EE189" s="3"/>
      <c r="EF189" s="3"/>
      <c r="EG189" s="3"/>
      <c r="EH189" s="3"/>
      <c r="EJ189" s="3"/>
      <c r="EK189" s="3"/>
      <c r="EL189" s="3"/>
      <c r="EM189" s="3"/>
      <c r="EN189" s="3"/>
      <c r="EP189" s="3"/>
      <c r="EQ189" s="3"/>
      <c r="ER189" s="3"/>
      <c r="ES189" s="3"/>
      <c r="ET189" s="3"/>
      <c r="EV189" s="3"/>
      <c r="EW189" s="3"/>
      <c r="EX189" s="3"/>
      <c r="EY189" s="3"/>
      <c r="EZ189" s="3"/>
      <c r="FB189" s="3"/>
      <c r="FC189" s="3"/>
      <c r="FD189" s="3"/>
      <c r="FE189" s="3"/>
      <c r="FF189" s="3"/>
      <c r="FH189" s="3"/>
      <c r="FI189" s="3"/>
      <c r="FJ189" s="3"/>
      <c r="FK189" s="3"/>
      <c r="FL189" s="3"/>
    </row>
  </sheetData>
  <mergeCells count="145">
    <mergeCell ref="BA5:BB5"/>
    <mergeCell ref="X6:Y6"/>
    <mergeCell ref="AA6:AB6"/>
    <mergeCell ref="AK6:AL6"/>
    <mergeCell ref="AM6:AN6"/>
    <mergeCell ref="AQ6:AR6"/>
    <mergeCell ref="AW6:AX6"/>
    <mergeCell ref="BA6:BB6"/>
    <mergeCell ref="AE6:AF6"/>
    <mergeCell ref="X5:Y5"/>
    <mergeCell ref="AA5:AB5"/>
    <mergeCell ref="AK5:AL5"/>
    <mergeCell ref="AM5:AN5"/>
    <mergeCell ref="AQ5:AR5"/>
    <mergeCell ref="AE5:AF5"/>
    <mergeCell ref="X4:Y4"/>
    <mergeCell ref="AA4:AB4"/>
    <mergeCell ref="X3:Y3"/>
    <mergeCell ref="AA3:AB3"/>
    <mergeCell ref="AK3:AL3"/>
    <mergeCell ref="AM3:AN3"/>
    <mergeCell ref="AQ3:AR3"/>
    <mergeCell ref="AW3:AX3"/>
    <mergeCell ref="AW5:AX5"/>
    <mergeCell ref="BA3:BB3"/>
    <mergeCell ref="AE3:AF3"/>
    <mergeCell ref="AK4:AL4"/>
    <mergeCell ref="AM4:AN4"/>
    <mergeCell ref="AQ4:AR4"/>
    <mergeCell ref="AW4:AX4"/>
    <mergeCell ref="BA4:BB4"/>
    <mergeCell ref="AK1:AL1"/>
    <mergeCell ref="AM1:AN1"/>
    <mergeCell ref="AQ1:AR1"/>
    <mergeCell ref="AW1:AX1"/>
    <mergeCell ref="BA1:BB1"/>
    <mergeCell ref="AW2:AX2"/>
    <mergeCell ref="BA2:BB2"/>
    <mergeCell ref="AE4:AF4"/>
    <mergeCell ref="X2:Y2"/>
    <mergeCell ref="AA2:AB2"/>
    <mergeCell ref="AK2:AL2"/>
    <mergeCell ref="AM2:AN2"/>
    <mergeCell ref="AQ2:AR2"/>
    <mergeCell ref="AE2:AF2"/>
    <mergeCell ref="AE1:AF1"/>
    <mergeCell ref="X1:Y1"/>
    <mergeCell ref="AA1:AB1"/>
    <mergeCell ref="A45:A46"/>
    <mergeCell ref="B45:B46"/>
    <mergeCell ref="C45:C46"/>
    <mergeCell ref="D45:D46"/>
    <mergeCell ref="E45:E46"/>
    <mergeCell ref="F45:F46"/>
    <mergeCell ref="A41:A42"/>
    <mergeCell ref="B41:B42"/>
    <mergeCell ref="C41:C42"/>
    <mergeCell ref="D41:D42"/>
    <mergeCell ref="E41:E42"/>
    <mergeCell ref="F41:F42"/>
    <mergeCell ref="A35:A36"/>
    <mergeCell ref="B35:B36"/>
    <mergeCell ref="C35:C36"/>
    <mergeCell ref="D35:D36"/>
    <mergeCell ref="E35:E36"/>
    <mergeCell ref="F35:F36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3:A24"/>
    <mergeCell ref="B23:B24"/>
    <mergeCell ref="C23:C24"/>
    <mergeCell ref="D23:D24"/>
    <mergeCell ref="E23:E24"/>
    <mergeCell ref="F23:F24"/>
    <mergeCell ref="A19:A20"/>
    <mergeCell ref="B19:B20"/>
    <mergeCell ref="C19:C20"/>
    <mergeCell ref="D19:D20"/>
    <mergeCell ref="E19:E20"/>
    <mergeCell ref="F19:F20"/>
    <mergeCell ref="A16:A17"/>
    <mergeCell ref="B16:B17"/>
    <mergeCell ref="C16:C17"/>
    <mergeCell ref="D16:D17"/>
    <mergeCell ref="E16:E17"/>
    <mergeCell ref="F16:F17"/>
    <mergeCell ref="A171:A172"/>
    <mergeCell ref="B171:B172"/>
    <mergeCell ref="C171:C172"/>
    <mergeCell ref="D171:D172"/>
    <mergeCell ref="E171:E172"/>
    <mergeCell ref="F171:F172"/>
    <mergeCell ref="A167:A168"/>
    <mergeCell ref="B167:B168"/>
    <mergeCell ref="C167:C168"/>
    <mergeCell ref="D167:D168"/>
    <mergeCell ref="E167:E168"/>
    <mergeCell ref="F167:F168"/>
    <mergeCell ref="A161:A162"/>
    <mergeCell ref="B161:B162"/>
    <mergeCell ref="C161:C162"/>
    <mergeCell ref="D161:D162"/>
    <mergeCell ref="E161:E162"/>
    <mergeCell ref="F161:F162"/>
    <mergeCell ref="A157:A158"/>
    <mergeCell ref="B157:B158"/>
    <mergeCell ref="C157:C158"/>
    <mergeCell ref="D157:D158"/>
    <mergeCell ref="E157:E158"/>
    <mergeCell ref="F157:F158"/>
    <mergeCell ref="A155:A156"/>
    <mergeCell ref="B155:B156"/>
    <mergeCell ref="C155:C156"/>
    <mergeCell ref="D155:D156"/>
    <mergeCell ref="E155:E156"/>
    <mergeCell ref="F155:F156"/>
    <mergeCell ref="A149:A150"/>
    <mergeCell ref="B149:B150"/>
    <mergeCell ref="C149:C150"/>
    <mergeCell ref="D149:D150"/>
    <mergeCell ref="E149:E150"/>
    <mergeCell ref="F149:F150"/>
    <mergeCell ref="A145:A146"/>
    <mergeCell ref="B145:B146"/>
    <mergeCell ref="C145:C146"/>
    <mergeCell ref="D145:D146"/>
    <mergeCell ref="E145:E146"/>
    <mergeCell ref="F145:F146"/>
    <mergeCell ref="G127:K127"/>
    <mergeCell ref="A142:A143"/>
    <mergeCell ref="B142:B143"/>
    <mergeCell ref="C142:C143"/>
    <mergeCell ref="D142:D143"/>
    <mergeCell ref="E142:E143"/>
    <mergeCell ref="F142:F1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E385-D547-DA43-AD64-CF5424DCCA47}">
  <dimension ref="A1:R80"/>
  <sheetViews>
    <sheetView topLeftCell="A17" workbookViewId="0">
      <selection activeCell="B44" sqref="B44"/>
    </sheetView>
  </sheetViews>
  <sheetFormatPr baseColWidth="10" defaultRowHeight="16"/>
  <cols>
    <col min="1" max="1" width="52.1640625" bestFit="1" customWidth="1"/>
  </cols>
  <sheetData>
    <row r="1" spans="1:18" ht="24">
      <c r="A1" s="7" t="s">
        <v>44</v>
      </c>
    </row>
    <row r="3" spans="1:18">
      <c r="A3" s="5" t="s">
        <v>2</v>
      </c>
      <c r="B3" s="5">
        <v>2025</v>
      </c>
      <c r="C3" s="5">
        <v>2024</v>
      </c>
      <c r="D3" s="5">
        <v>2023</v>
      </c>
      <c r="E3" s="5">
        <v>2022</v>
      </c>
      <c r="F3" s="5">
        <v>2021</v>
      </c>
      <c r="G3" s="198"/>
      <c r="H3" s="198"/>
      <c r="I3" s="198"/>
      <c r="J3" s="198"/>
      <c r="K3" s="198"/>
    </row>
    <row r="4" spans="1:18">
      <c r="A4" t="s">
        <v>45</v>
      </c>
      <c r="B4" s="3">
        <v>9068</v>
      </c>
      <c r="C4" s="3">
        <v>9586</v>
      </c>
      <c r="D4" s="3">
        <v>7139</v>
      </c>
      <c r="E4" s="3">
        <v>6058</v>
      </c>
      <c r="F4" s="3">
        <v>6028</v>
      </c>
    </row>
    <row r="5" spans="1:18">
      <c r="A5" t="s">
        <v>46</v>
      </c>
      <c r="B5" s="3">
        <v>8473</v>
      </c>
      <c r="C5" s="3">
        <v>7543</v>
      </c>
      <c r="D5" s="3">
        <v>6914</v>
      </c>
      <c r="E5" s="3">
        <v>5147</v>
      </c>
      <c r="F5" s="3">
        <v>6028</v>
      </c>
    </row>
    <row r="6" spans="1:18">
      <c r="A6" s="196" t="s">
        <v>47</v>
      </c>
      <c r="B6" s="197">
        <v>-5.4100000000000002E-2</v>
      </c>
      <c r="C6" s="197">
        <v>0.3427</v>
      </c>
      <c r="D6" s="197">
        <v>0.1784</v>
      </c>
      <c r="E6" s="197">
        <v>5.1000000000000004E-3</v>
      </c>
      <c r="F6" s="196" t="s">
        <v>6</v>
      </c>
    </row>
    <row r="7" spans="1:18">
      <c r="A7" s="196"/>
      <c r="B7" s="197"/>
      <c r="C7" s="197"/>
      <c r="D7" s="197"/>
      <c r="E7" s="197"/>
      <c r="F7" s="196"/>
    </row>
    <row r="8" spans="1:18">
      <c r="A8" t="s">
        <v>48</v>
      </c>
      <c r="B8" s="6">
        <v>0.16309999999999999</v>
      </c>
      <c r="C8" s="6">
        <v>0.1744</v>
      </c>
      <c r="D8" s="6">
        <v>0.14349999999999999</v>
      </c>
      <c r="E8" s="6">
        <v>0.12470000000000001</v>
      </c>
      <c r="F8" s="6">
        <v>0.13519999999999999</v>
      </c>
    </row>
    <row r="9" spans="1:18">
      <c r="A9" t="s">
        <v>49</v>
      </c>
      <c r="B9" s="3">
        <v>2583</v>
      </c>
      <c r="C9" s="3">
        <v>1988</v>
      </c>
      <c r="D9" s="3">
        <v>1842</v>
      </c>
      <c r="E9">
        <v>989</v>
      </c>
      <c r="F9" s="3">
        <v>1718</v>
      </c>
    </row>
    <row r="10" spans="1:18">
      <c r="A10" t="s">
        <v>50</v>
      </c>
      <c r="B10" s="3">
        <v>2031</v>
      </c>
      <c r="C10" s="3">
        <v>1335</v>
      </c>
      <c r="D10" s="3">
        <v>1287</v>
      </c>
      <c r="E10">
        <v>989</v>
      </c>
      <c r="F10">
        <v>804</v>
      </c>
    </row>
    <row r="11" spans="1:18">
      <c r="A11" t="s">
        <v>51</v>
      </c>
      <c r="B11" s="3">
        <v>2031</v>
      </c>
      <c r="C11" s="3">
        <v>1335</v>
      </c>
      <c r="D11" s="3">
        <v>1287</v>
      </c>
      <c r="E11">
        <v>989</v>
      </c>
      <c r="F11">
        <v>804</v>
      </c>
      <c r="K11" s="3"/>
      <c r="M11" s="3"/>
      <c r="O11" s="3"/>
      <c r="P11" s="3"/>
      <c r="R11" s="3"/>
    </row>
    <row r="12" spans="1:18">
      <c r="A12" t="s">
        <v>52</v>
      </c>
      <c r="B12">
        <v>552</v>
      </c>
      <c r="C12">
        <v>653</v>
      </c>
      <c r="D12">
        <v>555</v>
      </c>
      <c r="E12" t="s">
        <v>6</v>
      </c>
      <c r="F12">
        <v>914</v>
      </c>
    </row>
    <row r="13" spans="1:18">
      <c r="A13" s="196" t="s">
        <v>53</v>
      </c>
      <c r="B13" s="197">
        <v>0.29930000000000001</v>
      </c>
      <c r="C13" s="197">
        <v>7.9399999999999998E-2</v>
      </c>
      <c r="D13" s="197">
        <v>0.86270000000000002</v>
      </c>
      <c r="E13" s="197">
        <v>-0.42449999999999999</v>
      </c>
      <c r="F13" s="196" t="s">
        <v>6</v>
      </c>
      <c r="L13" s="3"/>
      <c r="N13" s="3"/>
    </row>
    <row r="14" spans="1:18">
      <c r="A14" s="196"/>
      <c r="B14" s="197"/>
      <c r="C14" s="197"/>
      <c r="D14" s="197"/>
      <c r="E14" s="197"/>
      <c r="F14" s="196"/>
      <c r="P14" s="3"/>
      <c r="R14" s="3"/>
    </row>
    <row r="15" spans="1:18">
      <c r="A15" t="s">
        <v>54</v>
      </c>
      <c r="B15">
        <v>17.52</v>
      </c>
      <c r="C15">
        <v>19.55</v>
      </c>
      <c r="D15">
        <v>18.309999999999999</v>
      </c>
      <c r="E15">
        <v>31.97</v>
      </c>
      <c r="F15">
        <v>17.28</v>
      </c>
    </row>
    <row r="16" spans="1:18">
      <c r="A16" t="s">
        <v>55</v>
      </c>
      <c r="B16" s="3">
        <v>1369</v>
      </c>
      <c r="C16" s="3">
        <v>1526</v>
      </c>
      <c r="D16">
        <v>937</v>
      </c>
      <c r="E16" s="3">
        <v>2219</v>
      </c>
      <c r="F16">
        <v>324</v>
      </c>
      <c r="H16" s="3"/>
      <c r="J16" s="3"/>
      <c r="L16" s="3"/>
      <c r="N16" s="3"/>
    </row>
    <row r="17" spans="1:11">
      <c r="A17" t="s">
        <v>56</v>
      </c>
      <c r="B17">
        <v>498</v>
      </c>
      <c r="C17">
        <v>432</v>
      </c>
      <c r="D17">
        <v>409</v>
      </c>
      <c r="E17">
        <v>393</v>
      </c>
      <c r="F17">
        <v>324</v>
      </c>
    </row>
    <row r="18" spans="1:11">
      <c r="A18" t="s">
        <v>57</v>
      </c>
      <c r="B18">
        <v>871</v>
      </c>
      <c r="C18" s="3">
        <v>1094</v>
      </c>
      <c r="D18">
        <v>528</v>
      </c>
      <c r="E18" s="3">
        <v>1826</v>
      </c>
      <c r="F18" t="s">
        <v>6</v>
      </c>
    </row>
    <row r="19" spans="1:11">
      <c r="A19" t="s">
        <v>58</v>
      </c>
      <c r="B19" s="3">
        <v>13020</v>
      </c>
      <c r="C19" s="3">
        <v>13100</v>
      </c>
      <c r="D19" s="3">
        <v>9918</v>
      </c>
      <c r="E19" s="3">
        <v>9266</v>
      </c>
      <c r="F19" s="3">
        <v>8070</v>
      </c>
    </row>
    <row r="20" spans="1:11">
      <c r="A20" t="s">
        <v>59</v>
      </c>
      <c r="B20" s="3">
        <v>4212</v>
      </c>
      <c r="C20" s="3">
        <v>3696</v>
      </c>
      <c r="D20" s="3">
        <v>3568</v>
      </c>
      <c r="E20" s="3">
        <v>3625</v>
      </c>
      <c r="F20" s="3">
        <v>3770</v>
      </c>
      <c r="I20" s="3"/>
      <c r="K20" s="3"/>
    </row>
    <row r="21" spans="1:11">
      <c r="A21" t="s">
        <v>60</v>
      </c>
      <c r="B21" s="3">
        <v>5308</v>
      </c>
      <c r="C21" s="3">
        <v>4614</v>
      </c>
      <c r="D21" s="3">
        <v>4423</v>
      </c>
      <c r="E21" s="3">
        <v>4379</v>
      </c>
      <c r="F21" s="3">
        <v>4386</v>
      </c>
    </row>
    <row r="22" spans="1:11">
      <c r="A22" t="s">
        <v>61</v>
      </c>
      <c r="B22">
        <v>537</v>
      </c>
      <c r="C22">
        <v>476</v>
      </c>
      <c r="D22">
        <v>151</v>
      </c>
      <c r="E22">
        <v>52</v>
      </c>
      <c r="F22">
        <v>48</v>
      </c>
    </row>
    <row r="23" spans="1:11">
      <c r="A23" t="s">
        <v>62</v>
      </c>
      <c r="B23">
        <v>156</v>
      </c>
      <c r="C23">
        <v>85</v>
      </c>
      <c r="D23">
        <v>88</v>
      </c>
      <c r="E23">
        <v>85</v>
      </c>
      <c r="F23">
        <v>82</v>
      </c>
      <c r="I23" s="3"/>
    </row>
    <row r="24" spans="1:11">
      <c r="A24" t="s">
        <v>63</v>
      </c>
      <c r="B24">
        <v>31</v>
      </c>
      <c r="C24">
        <v>15</v>
      </c>
      <c r="D24">
        <v>10</v>
      </c>
      <c r="E24">
        <v>27</v>
      </c>
      <c r="F24">
        <v>32</v>
      </c>
    </row>
    <row r="25" spans="1:11">
      <c r="A25" t="s">
        <v>64</v>
      </c>
      <c r="B25">
        <v>285</v>
      </c>
      <c r="C25">
        <v>228</v>
      </c>
      <c r="D25">
        <v>406</v>
      </c>
      <c r="E25">
        <v>236</v>
      </c>
      <c r="F25">
        <v>282</v>
      </c>
    </row>
    <row r="26" spans="1:11">
      <c r="A26" t="s">
        <v>65</v>
      </c>
      <c r="B26">
        <v>572</v>
      </c>
      <c r="C26">
        <v>446</v>
      </c>
      <c r="D26">
        <v>414</v>
      </c>
      <c r="E26">
        <v>443</v>
      </c>
      <c r="F26">
        <v>380</v>
      </c>
    </row>
    <row r="27" spans="1:11">
      <c r="A27" t="s">
        <v>66</v>
      </c>
      <c r="B27">
        <v>99</v>
      </c>
      <c r="C27">
        <v>99</v>
      </c>
      <c r="D27">
        <v>99</v>
      </c>
      <c r="E27">
        <v>116</v>
      </c>
      <c r="F27">
        <v>111</v>
      </c>
    </row>
    <row r="28" spans="1:11">
      <c r="A28" t="s">
        <v>67</v>
      </c>
      <c r="B28" s="3">
        <v>1421</v>
      </c>
      <c r="C28" s="3">
        <v>1162</v>
      </c>
      <c r="D28" s="3">
        <v>1177</v>
      </c>
      <c r="E28" s="3">
        <v>1194</v>
      </c>
      <c r="F28" s="3">
        <v>1003</v>
      </c>
    </row>
    <row r="29" spans="1:11">
      <c r="A29" t="s">
        <v>68</v>
      </c>
      <c r="B29" s="3">
        <v>1097</v>
      </c>
      <c r="C29">
        <v>918</v>
      </c>
      <c r="D29">
        <v>855</v>
      </c>
      <c r="E29">
        <v>754</v>
      </c>
      <c r="F29">
        <v>616</v>
      </c>
    </row>
    <row r="30" spans="1:11">
      <c r="A30" t="s">
        <v>69</v>
      </c>
      <c r="B30">
        <v>89</v>
      </c>
      <c r="C30">
        <v>407</v>
      </c>
      <c r="D30">
        <v>5</v>
      </c>
      <c r="E30">
        <v>20</v>
      </c>
      <c r="F30">
        <v>24</v>
      </c>
    </row>
    <row r="31" spans="1:11">
      <c r="A31" t="s">
        <v>70</v>
      </c>
      <c r="B31">
        <v>89</v>
      </c>
      <c r="C31">
        <v>407</v>
      </c>
      <c r="D31">
        <v>5</v>
      </c>
      <c r="E31">
        <v>20</v>
      </c>
      <c r="F31">
        <v>24</v>
      </c>
    </row>
    <row r="32" spans="1:11">
      <c r="A32" t="s">
        <v>71</v>
      </c>
      <c r="B32" s="3">
        <v>36214</v>
      </c>
      <c r="C32" s="3">
        <v>35250</v>
      </c>
      <c r="D32" s="3">
        <v>34366</v>
      </c>
      <c r="E32" s="3">
        <v>35421</v>
      </c>
      <c r="F32" s="3">
        <v>32573</v>
      </c>
    </row>
    <row r="33" spans="1:11">
      <c r="A33" t="s">
        <v>72</v>
      </c>
      <c r="B33" s="3">
        <v>32778</v>
      </c>
      <c r="C33" s="3">
        <v>32452</v>
      </c>
      <c r="D33" s="3">
        <v>31658</v>
      </c>
      <c r="E33" s="3">
        <v>32737</v>
      </c>
      <c r="F33" s="3">
        <v>30920</v>
      </c>
    </row>
    <row r="34" spans="1:11">
      <c r="A34" t="s">
        <v>73</v>
      </c>
      <c r="B34" s="3">
        <v>3436</v>
      </c>
      <c r="C34" s="3">
        <v>2797</v>
      </c>
      <c r="D34" s="3">
        <v>2708</v>
      </c>
      <c r="E34" s="3">
        <v>2685</v>
      </c>
      <c r="F34" s="3">
        <v>1653</v>
      </c>
    </row>
    <row r="35" spans="1:11">
      <c r="A35" t="s">
        <v>74</v>
      </c>
      <c r="B35" s="3">
        <v>55597</v>
      </c>
      <c r="C35" s="3">
        <v>54968</v>
      </c>
      <c r="D35" s="3">
        <v>49768</v>
      </c>
      <c r="E35" s="3">
        <v>48595</v>
      </c>
      <c r="F35" s="3">
        <v>44585</v>
      </c>
    </row>
    <row r="36" spans="1:11">
      <c r="A36" t="s">
        <v>75</v>
      </c>
      <c r="B36" s="6">
        <v>1.14E-2</v>
      </c>
      <c r="C36" s="6">
        <v>0.1045</v>
      </c>
      <c r="D36" s="6">
        <v>2.41E-2</v>
      </c>
      <c r="E36" s="6">
        <v>8.9899999999999994E-2</v>
      </c>
      <c r="F36" t="s">
        <v>6</v>
      </c>
    </row>
    <row r="37" spans="1:11">
      <c r="A37" t="s">
        <v>76</v>
      </c>
      <c r="B37">
        <v>0.82</v>
      </c>
      <c r="C37" t="s">
        <v>6</v>
      </c>
      <c r="D37" t="s">
        <v>6</v>
      </c>
      <c r="E37" t="s">
        <v>6</v>
      </c>
      <c r="F37" t="s">
        <v>6</v>
      </c>
    </row>
    <row r="38" spans="1:11">
      <c r="A38" t="s">
        <v>77</v>
      </c>
      <c r="B38" s="6">
        <v>0.1986</v>
      </c>
      <c r="C38" t="s">
        <v>6</v>
      </c>
      <c r="D38" t="s">
        <v>6</v>
      </c>
      <c r="E38" t="s">
        <v>6</v>
      </c>
      <c r="F38" t="s">
        <v>6</v>
      </c>
    </row>
    <row r="40" spans="1:11" ht="24">
      <c r="A40" s="7" t="s">
        <v>78</v>
      </c>
    </row>
    <row r="42" spans="1:11">
      <c r="A42" s="5" t="s">
        <v>79</v>
      </c>
      <c r="B42" s="5">
        <v>2025</v>
      </c>
      <c r="C42" s="5">
        <v>2024</v>
      </c>
      <c r="D42" s="5">
        <v>2023</v>
      </c>
      <c r="E42" s="5">
        <v>2022</v>
      </c>
      <c r="F42" s="5">
        <v>2021</v>
      </c>
      <c r="G42" s="198"/>
      <c r="H42" s="198"/>
      <c r="I42" s="198"/>
      <c r="J42" s="198"/>
      <c r="K42" s="198"/>
    </row>
    <row r="43" spans="1:11">
      <c r="A43" t="s">
        <v>80</v>
      </c>
      <c r="B43" s="3">
        <v>1459</v>
      </c>
      <c r="C43" s="3">
        <v>2213</v>
      </c>
      <c r="D43">
        <v>783</v>
      </c>
      <c r="E43">
        <v>356</v>
      </c>
      <c r="F43" s="3">
        <v>1015</v>
      </c>
    </row>
    <row r="44" spans="1:11">
      <c r="A44" t="s">
        <v>81</v>
      </c>
      <c r="B44" s="3">
        <v>1459</v>
      </c>
      <c r="C44" s="3">
        <v>2213</v>
      </c>
      <c r="D44">
        <v>783</v>
      </c>
      <c r="E44">
        <v>356</v>
      </c>
      <c r="F44" s="3">
        <v>1015</v>
      </c>
    </row>
    <row r="45" spans="1:11">
      <c r="A45" t="s">
        <v>82</v>
      </c>
      <c r="B45">
        <v>901</v>
      </c>
      <c r="C45">
        <v>900</v>
      </c>
      <c r="D45">
        <v>747</v>
      </c>
      <c r="E45">
        <v>672</v>
      </c>
      <c r="F45">
        <v>837</v>
      </c>
    </row>
    <row r="46" spans="1:11">
      <c r="A46" s="196" t="s">
        <v>83</v>
      </c>
      <c r="B46" s="197">
        <v>8.0000000000000004E-4</v>
      </c>
      <c r="C46" s="197">
        <v>0.20399999999999999</v>
      </c>
      <c r="D46" s="197">
        <v>0.113</v>
      </c>
      <c r="E46" s="197">
        <v>-0.19819999999999999</v>
      </c>
      <c r="F46" s="196" t="s">
        <v>6</v>
      </c>
    </row>
    <row r="47" spans="1:11">
      <c r="A47" s="196"/>
      <c r="B47" s="197"/>
      <c r="C47" s="197"/>
      <c r="D47" s="197"/>
      <c r="E47" s="197"/>
      <c r="F47" s="196"/>
    </row>
    <row r="48" spans="1:11">
      <c r="A48" t="s">
        <v>84</v>
      </c>
      <c r="B48" s="3">
        <v>8621</v>
      </c>
      <c r="C48" s="3">
        <v>7643</v>
      </c>
      <c r="D48" s="3">
        <v>7330</v>
      </c>
      <c r="E48" s="3">
        <v>6903</v>
      </c>
      <c r="F48" s="3">
        <v>6636</v>
      </c>
    </row>
    <row r="49" spans="1:6">
      <c r="A49" t="s">
        <v>85</v>
      </c>
      <c r="B49" s="3">
        <v>8621</v>
      </c>
      <c r="C49" s="3">
        <v>7643</v>
      </c>
      <c r="D49" s="3">
        <v>7330</v>
      </c>
      <c r="E49" s="3">
        <v>6903</v>
      </c>
      <c r="F49" s="3">
        <v>6636</v>
      </c>
    </row>
    <row r="50" spans="1:6">
      <c r="A50" t="s">
        <v>86</v>
      </c>
      <c r="B50" s="3">
        <v>10981</v>
      </c>
      <c r="C50" s="3">
        <v>10755</v>
      </c>
      <c r="D50" s="3">
        <v>8861</v>
      </c>
      <c r="E50" s="3">
        <v>7931</v>
      </c>
      <c r="F50" s="3">
        <v>8489</v>
      </c>
    </row>
    <row r="51" spans="1:6">
      <c r="A51" t="s">
        <v>87</v>
      </c>
      <c r="B51">
        <v>1.19</v>
      </c>
      <c r="C51">
        <v>1.22</v>
      </c>
      <c r="D51">
        <v>1.1200000000000001</v>
      </c>
      <c r="E51">
        <v>1.17</v>
      </c>
      <c r="F51">
        <v>0.95</v>
      </c>
    </row>
    <row r="52" spans="1:6">
      <c r="A52" t="s">
        <v>88</v>
      </c>
      <c r="B52">
        <v>1.19</v>
      </c>
      <c r="C52">
        <v>1.22</v>
      </c>
      <c r="D52">
        <v>1.1200000000000001</v>
      </c>
      <c r="E52">
        <v>1.17</v>
      </c>
      <c r="F52">
        <v>0.95</v>
      </c>
    </row>
    <row r="53" spans="1:6">
      <c r="A53" t="s">
        <v>89</v>
      </c>
      <c r="B53">
        <v>0.83</v>
      </c>
      <c r="C53">
        <v>0.89</v>
      </c>
      <c r="D53">
        <v>0.81</v>
      </c>
      <c r="E53">
        <v>0.76</v>
      </c>
      <c r="F53">
        <v>0.71</v>
      </c>
    </row>
    <row r="54" spans="1:6">
      <c r="A54" t="s">
        <v>90</v>
      </c>
      <c r="B54" s="3">
        <v>15516</v>
      </c>
      <c r="C54" s="3">
        <v>15782</v>
      </c>
      <c r="D54" s="3">
        <v>16190</v>
      </c>
      <c r="E54" s="3">
        <v>16576</v>
      </c>
      <c r="F54" s="3">
        <v>17102</v>
      </c>
    </row>
    <row r="55" spans="1:6">
      <c r="A55" t="s">
        <v>91</v>
      </c>
      <c r="B55" s="3">
        <v>15516</v>
      </c>
      <c r="C55" s="3">
        <v>15782</v>
      </c>
      <c r="D55" s="3">
        <v>16190</v>
      </c>
      <c r="E55" s="3">
        <v>16576</v>
      </c>
      <c r="F55" s="3">
        <v>17102</v>
      </c>
    </row>
    <row r="56" spans="1:6">
      <c r="A56" t="s">
        <v>92</v>
      </c>
      <c r="B56" s="3">
        <v>13464</v>
      </c>
      <c r="C56" s="3">
        <v>13798</v>
      </c>
      <c r="D56" s="3">
        <v>14143</v>
      </c>
      <c r="E56" s="3">
        <v>14353</v>
      </c>
      <c r="F56" s="3">
        <v>14693</v>
      </c>
    </row>
    <row r="57" spans="1:6">
      <c r="A57" t="s">
        <v>93</v>
      </c>
      <c r="B57" t="s">
        <v>6</v>
      </c>
      <c r="C57">
        <v>432</v>
      </c>
      <c r="D57">
        <v>327</v>
      </c>
      <c r="E57">
        <v>227</v>
      </c>
      <c r="F57">
        <v>203</v>
      </c>
    </row>
    <row r="58" spans="1:6">
      <c r="A58" s="196" t="s">
        <v>94</v>
      </c>
      <c r="B58" s="199">
        <v>-1955</v>
      </c>
      <c r="C58" s="199">
        <v>-1178</v>
      </c>
      <c r="D58" s="196">
        <v>-875</v>
      </c>
      <c r="E58" s="196">
        <v>-262</v>
      </c>
      <c r="F58" s="196">
        <v>-148</v>
      </c>
    </row>
    <row r="59" spans="1:6">
      <c r="A59" s="196"/>
      <c r="B59" s="199"/>
      <c r="C59" s="199"/>
      <c r="D59" s="196"/>
      <c r="E59" s="196"/>
      <c r="F59" s="196"/>
    </row>
    <row r="60" spans="1:6">
      <c r="A60" t="s">
        <v>95</v>
      </c>
      <c r="B60">
        <v>107</v>
      </c>
      <c r="C60" s="3">
        <v>1338</v>
      </c>
      <c r="D60" s="3">
        <v>1036</v>
      </c>
      <c r="E60" t="s">
        <v>6</v>
      </c>
      <c r="F60" t="s">
        <v>6</v>
      </c>
    </row>
    <row r="61" spans="1:6">
      <c r="A61" t="s">
        <v>96</v>
      </c>
      <c r="B61" s="3">
        <v>2062</v>
      </c>
      <c r="C61" s="3">
        <v>2515</v>
      </c>
      <c r="D61" s="3">
        <v>1910</v>
      </c>
      <c r="E61">
        <v>262</v>
      </c>
      <c r="F61">
        <v>148</v>
      </c>
    </row>
    <row r="62" spans="1:6">
      <c r="A62" t="s">
        <v>97</v>
      </c>
      <c r="B62" s="3">
        <v>2377</v>
      </c>
      <c r="C62" s="3">
        <v>1917</v>
      </c>
      <c r="D62" s="3">
        <v>2766</v>
      </c>
      <c r="E62" s="3">
        <v>3084</v>
      </c>
      <c r="F62" s="3">
        <v>2942</v>
      </c>
    </row>
    <row r="63" spans="1:6">
      <c r="A63" t="s">
        <v>98</v>
      </c>
      <c r="B63" s="3">
        <v>2377</v>
      </c>
      <c r="C63" s="3">
        <v>1917</v>
      </c>
      <c r="D63" s="3">
        <v>2766</v>
      </c>
      <c r="E63" s="3">
        <v>3084</v>
      </c>
      <c r="F63" s="3">
        <v>2942</v>
      </c>
    </row>
    <row r="64" spans="1:6">
      <c r="A64" t="s">
        <v>99</v>
      </c>
      <c r="B64" s="3">
        <v>28982</v>
      </c>
      <c r="C64" s="3">
        <v>30225</v>
      </c>
      <c r="D64" s="3">
        <v>29179</v>
      </c>
      <c r="E64" s="3">
        <v>27817</v>
      </c>
      <c r="F64" s="3">
        <v>28735</v>
      </c>
    </row>
    <row r="65" spans="1:6">
      <c r="A65" t="s">
        <v>100</v>
      </c>
      <c r="B65" s="6">
        <v>0.52129999999999999</v>
      </c>
      <c r="C65" s="6">
        <v>0.54990000000000006</v>
      </c>
      <c r="D65" s="6">
        <v>0.58630000000000004</v>
      </c>
      <c r="E65" s="6">
        <v>0.57240000000000002</v>
      </c>
      <c r="F65" s="6">
        <v>0.64449999999999996</v>
      </c>
    </row>
    <row r="66" spans="1:6">
      <c r="A66" t="s">
        <v>101</v>
      </c>
      <c r="B66" s="3">
        <v>26615</v>
      </c>
      <c r="C66" s="3">
        <v>24744</v>
      </c>
      <c r="D66" s="3">
        <v>20588</v>
      </c>
      <c r="E66" s="3">
        <v>20777</v>
      </c>
      <c r="F66" s="3">
        <v>15849</v>
      </c>
    </row>
    <row r="67" spans="1:6">
      <c r="A67" t="s">
        <v>102</v>
      </c>
      <c r="B67" s="3">
        <v>7286</v>
      </c>
      <c r="C67" s="3">
        <v>6252</v>
      </c>
      <c r="D67" s="3">
        <v>5145</v>
      </c>
      <c r="E67" s="3">
        <v>4638</v>
      </c>
      <c r="F67" s="3">
        <v>4025</v>
      </c>
    </row>
    <row r="68" spans="1:6">
      <c r="A68" t="s">
        <v>103</v>
      </c>
      <c r="B68" s="3">
        <v>42282</v>
      </c>
      <c r="C68" s="3">
        <v>31301</v>
      </c>
      <c r="D68" s="3">
        <v>22589</v>
      </c>
      <c r="E68" s="3">
        <v>17181</v>
      </c>
      <c r="F68" s="3">
        <v>12689</v>
      </c>
    </row>
    <row r="69" spans="1:6">
      <c r="A69" s="196" t="s">
        <v>104</v>
      </c>
      <c r="B69" s="196">
        <v>-194</v>
      </c>
      <c r="C69" s="196">
        <v>-377</v>
      </c>
      <c r="D69" s="196">
        <v>-104</v>
      </c>
      <c r="E69" s="196">
        <v>-217</v>
      </c>
      <c r="F69" s="196">
        <v>-40</v>
      </c>
    </row>
    <row r="70" spans="1:6">
      <c r="A70" s="196"/>
      <c r="B70" s="196"/>
      <c r="C70" s="196"/>
      <c r="D70" s="196"/>
      <c r="E70" s="196"/>
      <c r="F70" s="196"/>
    </row>
    <row r="71" spans="1:6">
      <c r="A71" t="s">
        <v>105</v>
      </c>
      <c r="B71" t="s">
        <v>6</v>
      </c>
      <c r="C71">
        <v>3</v>
      </c>
      <c r="D71" t="s">
        <v>6</v>
      </c>
      <c r="E71" t="s">
        <v>6</v>
      </c>
      <c r="F71" t="s">
        <v>6</v>
      </c>
    </row>
    <row r="72" spans="1:6">
      <c r="A72" s="196" t="s">
        <v>106</v>
      </c>
      <c r="B72" s="196">
        <v>-387</v>
      </c>
      <c r="C72" s="196">
        <v>736</v>
      </c>
      <c r="D72" s="196">
        <v>-120</v>
      </c>
      <c r="E72" s="196" t="s">
        <v>6</v>
      </c>
      <c r="F72" s="196" t="s">
        <v>6</v>
      </c>
    </row>
    <row r="73" spans="1:6">
      <c r="A73" s="196"/>
      <c r="B73" s="196"/>
      <c r="C73" s="196"/>
      <c r="D73" s="196"/>
      <c r="E73" s="196"/>
      <c r="F73" s="196"/>
    </row>
    <row r="74" spans="1:6">
      <c r="A74" s="196" t="s">
        <v>107</v>
      </c>
      <c r="B74" s="199">
        <v>-22373</v>
      </c>
      <c r="C74" s="199">
        <v>-13172</v>
      </c>
      <c r="D74" s="199">
        <v>-6922</v>
      </c>
      <c r="E74" s="196">
        <v>-824</v>
      </c>
      <c r="F74" s="196">
        <v>-824</v>
      </c>
    </row>
    <row r="75" spans="1:6">
      <c r="A75" s="196"/>
      <c r="B75" s="199"/>
      <c r="C75" s="199"/>
      <c r="D75" s="199"/>
      <c r="E75" s="196"/>
      <c r="F75" s="196"/>
    </row>
    <row r="76" spans="1:6">
      <c r="A76" t="s">
        <v>108</v>
      </c>
      <c r="B76" s="6">
        <v>0.47870000000000001</v>
      </c>
      <c r="C76" s="6">
        <v>0.4501</v>
      </c>
      <c r="D76" s="6">
        <v>0.41370000000000001</v>
      </c>
      <c r="E76" s="6">
        <v>0.42759999999999998</v>
      </c>
      <c r="F76" s="6">
        <v>0.35549999999999998</v>
      </c>
    </row>
    <row r="77" spans="1:6">
      <c r="A77" t="s">
        <v>109</v>
      </c>
      <c r="B77" s="3">
        <v>26615</v>
      </c>
      <c r="C77" s="3">
        <v>24744</v>
      </c>
      <c r="D77" s="3">
        <v>20588</v>
      </c>
      <c r="E77" s="3">
        <v>20777</v>
      </c>
      <c r="F77" s="3">
        <v>15849</v>
      </c>
    </row>
    <row r="78" spans="1:6">
      <c r="A78" t="s">
        <v>110</v>
      </c>
      <c r="B78" s="6">
        <v>0.47870000000000001</v>
      </c>
      <c r="C78" s="6">
        <v>0.4501</v>
      </c>
      <c r="D78" s="6">
        <v>0.41370000000000001</v>
      </c>
      <c r="E78" s="6">
        <v>0.42759999999999998</v>
      </c>
      <c r="F78" s="6">
        <v>0.35549999999999998</v>
      </c>
    </row>
    <row r="79" spans="1:6">
      <c r="A79" t="s">
        <v>111</v>
      </c>
      <c r="B79" s="3">
        <v>26615</v>
      </c>
      <c r="C79" s="3">
        <v>24744</v>
      </c>
      <c r="D79" s="3">
        <v>20588</v>
      </c>
      <c r="E79" s="3">
        <v>20777</v>
      </c>
      <c r="F79" s="3">
        <v>15849</v>
      </c>
    </row>
    <row r="80" spans="1:6">
      <c r="A80" t="s">
        <v>78</v>
      </c>
      <c r="B80" s="3">
        <v>55597</v>
      </c>
      <c r="C80" s="3">
        <v>54968</v>
      </c>
      <c r="D80" s="3">
        <v>49768</v>
      </c>
      <c r="E80" s="3">
        <v>48595</v>
      </c>
      <c r="F80" s="3">
        <v>44585</v>
      </c>
    </row>
  </sheetData>
  <mergeCells count="44">
    <mergeCell ref="F74:F75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69:F70"/>
    <mergeCell ref="A58:A59"/>
    <mergeCell ref="B58:B59"/>
    <mergeCell ref="C58:C59"/>
    <mergeCell ref="D58:D59"/>
    <mergeCell ref="E58:E59"/>
    <mergeCell ref="F58:F59"/>
    <mergeCell ref="A69:A70"/>
    <mergeCell ref="B69:B70"/>
    <mergeCell ref="C69:C70"/>
    <mergeCell ref="D69:D70"/>
    <mergeCell ref="E69:E70"/>
    <mergeCell ref="G42:K42"/>
    <mergeCell ref="A46:A47"/>
    <mergeCell ref="B46:B47"/>
    <mergeCell ref="C46:C47"/>
    <mergeCell ref="D46:D47"/>
    <mergeCell ref="E46:E47"/>
    <mergeCell ref="F46:F47"/>
    <mergeCell ref="F13:F14"/>
    <mergeCell ref="G3:K3"/>
    <mergeCell ref="A6:A7"/>
    <mergeCell ref="B6:B7"/>
    <mergeCell ref="C6:C7"/>
    <mergeCell ref="D6:D7"/>
    <mergeCell ref="E6:E7"/>
    <mergeCell ref="F6:F7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18F0-F4EE-744E-A3D4-943AFC11E57A}">
  <dimension ref="A1:K88"/>
  <sheetViews>
    <sheetView topLeftCell="A51" workbookViewId="0">
      <selection activeCell="B7" sqref="B7"/>
    </sheetView>
  </sheetViews>
  <sheetFormatPr baseColWidth="10" defaultRowHeight="16"/>
  <cols>
    <col min="1" max="1" width="48.6640625" bestFit="1" customWidth="1"/>
  </cols>
  <sheetData>
    <row r="1" spans="1:11" ht="24">
      <c r="A1" s="7" t="s">
        <v>112</v>
      </c>
    </row>
    <row r="3" spans="1:11">
      <c r="A3" s="5" t="s">
        <v>2</v>
      </c>
      <c r="B3" s="5">
        <v>2025</v>
      </c>
      <c r="C3" s="5">
        <v>2024</v>
      </c>
      <c r="D3" s="5">
        <v>2023</v>
      </c>
      <c r="E3" s="5">
        <v>2022</v>
      </c>
      <c r="F3" s="5">
        <v>2021</v>
      </c>
      <c r="G3" s="198"/>
      <c r="H3" s="198"/>
      <c r="I3" s="198"/>
      <c r="J3" s="198"/>
      <c r="K3" s="198"/>
    </row>
    <row r="4" spans="1:11">
      <c r="A4" t="s">
        <v>113</v>
      </c>
      <c r="B4" s="3">
        <v>10981</v>
      </c>
      <c r="C4" s="3">
        <v>8712</v>
      </c>
      <c r="D4" s="3">
        <v>5408</v>
      </c>
      <c r="E4" s="3">
        <v>4492</v>
      </c>
      <c r="F4" s="3">
        <v>5116</v>
      </c>
    </row>
    <row r="5" spans="1:11">
      <c r="A5" s="196" t="s">
        <v>32</v>
      </c>
      <c r="B5" s="197">
        <v>0.26050000000000001</v>
      </c>
      <c r="C5" s="197">
        <v>0.6109</v>
      </c>
      <c r="D5" s="197">
        <v>0.2039</v>
      </c>
      <c r="E5" s="197">
        <v>-0.122</v>
      </c>
      <c r="F5" s="196" t="s">
        <v>6</v>
      </c>
    </row>
    <row r="6" spans="1:11">
      <c r="A6" s="196"/>
      <c r="B6" s="197"/>
      <c r="C6" s="197"/>
      <c r="D6" s="197"/>
      <c r="E6" s="197"/>
      <c r="F6" s="196"/>
    </row>
    <row r="7" spans="1:11">
      <c r="A7" t="s">
        <v>114</v>
      </c>
      <c r="B7" s="3">
        <v>16756</v>
      </c>
      <c r="C7" s="3">
        <v>15630</v>
      </c>
      <c r="D7" s="3">
        <v>14554</v>
      </c>
      <c r="E7" s="3">
        <v>14363</v>
      </c>
      <c r="F7" s="3">
        <v>12439</v>
      </c>
    </row>
    <row r="8" spans="1:11">
      <c r="A8" s="196" t="s">
        <v>115</v>
      </c>
      <c r="B8" s="196">
        <v>-442</v>
      </c>
      <c r="C8" s="196">
        <v>-591</v>
      </c>
      <c r="D8" s="196">
        <v>-459</v>
      </c>
      <c r="E8" s="196">
        <v>-167</v>
      </c>
      <c r="F8" s="196">
        <v>200</v>
      </c>
    </row>
    <row r="9" spans="1:11">
      <c r="A9" s="196"/>
      <c r="B9" s="196"/>
      <c r="C9" s="196"/>
      <c r="D9" s="196"/>
      <c r="E9" s="196"/>
      <c r="F9" s="196"/>
    </row>
    <row r="10" spans="1:11">
      <c r="A10" s="196" t="s">
        <v>94</v>
      </c>
      <c r="B10" s="196">
        <v>-442</v>
      </c>
      <c r="C10" s="196">
        <v>-591</v>
      </c>
      <c r="D10" s="196">
        <v>-459</v>
      </c>
      <c r="E10" s="196">
        <v>-167</v>
      </c>
      <c r="F10" s="196">
        <v>200</v>
      </c>
    </row>
    <row r="11" spans="1:11">
      <c r="A11" s="196"/>
      <c r="B11" s="196"/>
      <c r="C11" s="196"/>
      <c r="D11" s="196"/>
      <c r="E11" s="196"/>
      <c r="F11" s="196"/>
    </row>
    <row r="12" spans="1:11">
      <c r="A12" s="196" t="s">
        <v>116</v>
      </c>
      <c r="B12" s="199">
        <v>-16689</v>
      </c>
      <c r="C12" s="199">
        <v>-16357</v>
      </c>
      <c r="D12" s="199">
        <v>-12113</v>
      </c>
      <c r="E12" s="199">
        <v>-15904</v>
      </c>
      <c r="F12" s="199">
        <v>-17120</v>
      </c>
    </row>
    <row r="13" spans="1:11">
      <c r="A13" s="196"/>
      <c r="B13" s="199"/>
      <c r="C13" s="199"/>
      <c r="D13" s="199"/>
      <c r="E13" s="199"/>
      <c r="F13" s="199"/>
    </row>
    <row r="14" spans="1:11">
      <c r="A14" t="s">
        <v>117</v>
      </c>
      <c r="B14" s="3">
        <v>10605</v>
      </c>
      <c r="C14" s="3">
        <v>7394</v>
      </c>
      <c r="D14" s="3">
        <v>7390</v>
      </c>
      <c r="E14" s="3">
        <v>2784</v>
      </c>
      <c r="F14">
        <v>635</v>
      </c>
    </row>
    <row r="15" spans="1:11">
      <c r="A15" s="196" t="s">
        <v>118</v>
      </c>
      <c r="B15" s="196">
        <v>-456</v>
      </c>
      <c r="C15" s="196">
        <v>-33</v>
      </c>
      <c r="D15" s="196">
        <v>-116</v>
      </c>
      <c r="E15" s="196">
        <v>-758</v>
      </c>
      <c r="F15" s="196">
        <v>-242</v>
      </c>
    </row>
    <row r="16" spans="1:11">
      <c r="A16" s="196"/>
      <c r="B16" s="196"/>
      <c r="C16" s="196"/>
      <c r="D16" s="196"/>
      <c r="E16" s="196"/>
      <c r="F16" s="196"/>
    </row>
    <row r="17" spans="1:11">
      <c r="A17" s="196" t="s">
        <v>82</v>
      </c>
      <c r="B17" s="196">
        <v>-8</v>
      </c>
      <c r="C17" s="196">
        <v>121</v>
      </c>
      <c r="D17" s="196">
        <v>94</v>
      </c>
      <c r="E17" s="196">
        <v>-159</v>
      </c>
      <c r="F17" s="196">
        <v>145</v>
      </c>
    </row>
    <row r="18" spans="1:11">
      <c r="A18" s="196"/>
      <c r="B18" s="196"/>
      <c r="C18" s="196"/>
      <c r="D18" s="196"/>
      <c r="E18" s="196"/>
      <c r="F18" s="196"/>
    </row>
    <row r="19" spans="1:11">
      <c r="A19" s="196" t="s">
        <v>119</v>
      </c>
      <c r="B19" s="196">
        <v>881</v>
      </c>
      <c r="C19" s="196">
        <v>192</v>
      </c>
      <c r="D19" s="196">
        <v>104</v>
      </c>
      <c r="E19" s="196">
        <v>-56</v>
      </c>
      <c r="F19" s="196">
        <v>180</v>
      </c>
    </row>
    <row r="20" spans="1:11">
      <c r="A20" s="196"/>
      <c r="B20" s="196"/>
      <c r="C20" s="196"/>
      <c r="D20" s="196"/>
      <c r="E20" s="196"/>
      <c r="F20" s="196"/>
    </row>
    <row r="21" spans="1:11">
      <c r="A21" s="196" t="s">
        <v>120</v>
      </c>
      <c r="B21" s="199">
        <v>-1329</v>
      </c>
      <c r="C21" s="196">
        <v>-346</v>
      </c>
      <c r="D21" s="196">
        <v>-313</v>
      </c>
      <c r="E21" s="196">
        <v>-544</v>
      </c>
      <c r="F21" s="196">
        <v>-567</v>
      </c>
    </row>
    <row r="22" spans="1:11">
      <c r="A22" s="196"/>
      <c r="B22" s="199"/>
      <c r="C22" s="196"/>
      <c r="D22" s="196"/>
      <c r="E22" s="196"/>
      <c r="F22" s="196"/>
    </row>
    <row r="23" spans="1:11">
      <c r="A23" t="s">
        <v>121</v>
      </c>
      <c r="B23" s="3">
        <v>10149</v>
      </c>
      <c r="C23" s="3">
        <v>7361</v>
      </c>
      <c r="D23" s="3">
        <v>7274</v>
      </c>
      <c r="E23" s="3">
        <v>2026</v>
      </c>
      <c r="F23">
        <v>393</v>
      </c>
    </row>
    <row r="24" spans="1:11">
      <c r="A24" t="s">
        <v>122</v>
      </c>
      <c r="B24" s="6">
        <v>0.37869999999999998</v>
      </c>
      <c r="C24" s="6">
        <v>1.2E-2</v>
      </c>
      <c r="D24" s="6">
        <v>2.59</v>
      </c>
      <c r="E24" s="6">
        <v>4.1609999999999996</v>
      </c>
      <c r="F24" t="s">
        <v>6</v>
      </c>
    </row>
    <row r="25" spans="1:11">
      <c r="A25" t="s">
        <v>123</v>
      </c>
      <c r="B25" s="6">
        <v>0.22420000000000001</v>
      </c>
      <c r="C25" s="6">
        <v>0.18940000000000001</v>
      </c>
      <c r="D25" s="6">
        <v>0.2157</v>
      </c>
      <c r="E25" s="6">
        <v>6.4100000000000004E-2</v>
      </c>
      <c r="F25" s="6">
        <v>1.32E-2</v>
      </c>
    </row>
    <row r="27" spans="1:11" ht="24">
      <c r="A27" s="7" t="s">
        <v>124</v>
      </c>
    </row>
    <row r="29" spans="1:11">
      <c r="A29" s="5" t="s">
        <v>79</v>
      </c>
      <c r="B29" s="5">
        <v>2025</v>
      </c>
      <c r="C29" s="5">
        <v>2024</v>
      </c>
      <c r="D29" s="5">
        <v>2023</v>
      </c>
      <c r="E29" s="5">
        <v>2022</v>
      </c>
      <c r="F29" s="5">
        <v>2021</v>
      </c>
      <c r="G29" s="198"/>
      <c r="H29" s="198"/>
      <c r="I29" s="198"/>
      <c r="J29" s="198"/>
      <c r="K29" s="198"/>
    </row>
    <row r="30" spans="1:11">
      <c r="A30" s="196" t="s">
        <v>125</v>
      </c>
      <c r="B30" s="196">
        <v>-688</v>
      </c>
      <c r="C30" s="196">
        <v>-440</v>
      </c>
      <c r="D30" s="196">
        <v>-349</v>
      </c>
      <c r="E30" s="196">
        <v>-408</v>
      </c>
      <c r="F30" s="196">
        <v>-552</v>
      </c>
    </row>
    <row r="31" spans="1:11">
      <c r="A31" s="196"/>
      <c r="B31" s="196"/>
      <c r="C31" s="196"/>
      <c r="D31" s="196"/>
      <c r="E31" s="196"/>
      <c r="F31" s="196"/>
    </row>
    <row r="32" spans="1:11">
      <c r="A32" s="196" t="s">
        <v>126</v>
      </c>
      <c r="B32" s="196">
        <v>-688</v>
      </c>
      <c r="C32" s="196">
        <v>-440</v>
      </c>
      <c r="D32" s="196">
        <v>-349</v>
      </c>
      <c r="E32" s="196">
        <v>-408</v>
      </c>
      <c r="F32" s="196">
        <v>-525</v>
      </c>
    </row>
    <row r="33" spans="1:6">
      <c r="A33" s="196"/>
      <c r="B33" s="196"/>
      <c r="C33" s="196"/>
      <c r="D33" s="196"/>
      <c r="E33" s="196"/>
      <c r="F33" s="196"/>
    </row>
    <row r="34" spans="1:6">
      <c r="A34" s="196" t="s">
        <v>127</v>
      </c>
      <c r="B34" s="196" t="s">
        <v>6</v>
      </c>
      <c r="C34" s="196" t="s">
        <v>6</v>
      </c>
      <c r="D34" s="196" t="s">
        <v>6</v>
      </c>
      <c r="E34" s="196" t="s">
        <v>6</v>
      </c>
      <c r="F34" s="196">
        <v>-27</v>
      </c>
    </row>
    <row r="35" spans="1:6">
      <c r="A35" s="196"/>
      <c r="B35" s="196"/>
      <c r="C35" s="196"/>
      <c r="D35" s="196"/>
      <c r="E35" s="196"/>
      <c r="F35" s="196"/>
    </row>
    <row r="36" spans="1:6">
      <c r="A36" s="196" t="s">
        <v>128</v>
      </c>
      <c r="B36" s="197">
        <v>-0.56579999999999997</v>
      </c>
      <c r="C36" s="197">
        <v>-0.26100000000000001</v>
      </c>
      <c r="D36" s="197">
        <v>0.14510000000000001</v>
      </c>
      <c r="E36" s="197">
        <v>0.26069999999999999</v>
      </c>
      <c r="F36" s="196" t="s">
        <v>6</v>
      </c>
    </row>
    <row r="37" spans="1:6">
      <c r="A37" s="196"/>
      <c r="B37" s="197"/>
      <c r="C37" s="197"/>
      <c r="D37" s="197"/>
      <c r="E37" s="197"/>
      <c r="F37" s="196"/>
    </row>
    <row r="38" spans="1:6">
      <c r="A38" s="196" t="s">
        <v>129</v>
      </c>
      <c r="B38" s="197">
        <v>-1.52E-2</v>
      </c>
      <c r="C38" s="197">
        <v>-1.1299999999999999E-2</v>
      </c>
      <c r="D38" s="197">
        <v>-1.03E-2</v>
      </c>
      <c r="E38" s="197">
        <v>-1.29E-2</v>
      </c>
      <c r="F38" s="197">
        <v>-1.8599999999999998E-2</v>
      </c>
    </row>
    <row r="39" spans="1:6">
      <c r="A39" s="196"/>
      <c r="B39" s="197"/>
      <c r="C39" s="197"/>
      <c r="D39" s="197"/>
      <c r="E39" s="197"/>
      <c r="F39" s="197"/>
    </row>
    <row r="40" spans="1:6">
      <c r="A40" s="196" t="s">
        <v>130</v>
      </c>
      <c r="B40" s="199">
        <v>1747</v>
      </c>
      <c r="C40" s="199">
        <v>-1742</v>
      </c>
      <c r="D40" s="196">
        <v>890</v>
      </c>
      <c r="E40" s="196">
        <v>-911</v>
      </c>
      <c r="F40" s="196" t="s">
        <v>6</v>
      </c>
    </row>
    <row r="41" spans="1:6">
      <c r="A41" s="196"/>
      <c r="B41" s="199"/>
      <c r="C41" s="199"/>
      <c r="D41" s="196"/>
      <c r="E41" s="196"/>
      <c r="F41" s="196"/>
    </row>
    <row r="42" spans="1:6">
      <c r="A42" s="196" t="s">
        <v>131</v>
      </c>
      <c r="B42" s="196">
        <v>-170</v>
      </c>
      <c r="C42" s="199">
        <v>-1742</v>
      </c>
      <c r="D42" s="196">
        <v>-505</v>
      </c>
      <c r="E42" s="196">
        <v>-911</v>
      </c>
      <c r="F42" s="196" t="s">
        <v>6</v>
      </c>
    </row>
    <row r="43" spans="1:6">
      <c r="A43" s="196"/>
      <c r="B43" s="196"/>
      <c r="C43" s="199"/>
      <c r="D43" s="196"/>
      <c r="E43" s="196"/>
      <c r="F43" s="196"/>
    </row>
    <row r="44" spans="1:6">
      <c r="A44" t="s">
        <v>132</v>
      </c>
      <c r="B44" s="3">
        <v>1917</v>
      </c>
      <c r="C44" t="s">
        <v>6</v>
      </c>
      <c r="D44" s="3">
        <v>1395</v>
      </c>
      <c r="E44" t="s">
        <v>6</v>
      </c>
      <c r="F44" t="s">
        <v>6</v>
      </c>
    </row>
    <row r="45" spans="1:6">
      <c r="A45" s="196" t="s">
        <v>133</v>
      </c>
      <c r="B45" s="196">
        <v>-17</v>
      </c>
      <c r="C45" s="196" t="s">
        <v>6</v>
      </c>
      <c r="D45" s="196" t="s">
        <v>6</v>
      </c>
      <c r="E45" s="196">
        <v>-757</v>
      </c>
      <c r="F45" s="196">
        <v>-788</v>
      </c>
    </row>
    <row r="46" spans="1:6">
      <c r="A46" s="196"/>
      <c r="B46" s="196"/>
      <c r="C46" s="196"/>
      <c r="D46" s="196"/>
      <c r="E46" s="196"/>
      <c r="F46" s="196"/>
    </row>
    <row r="47" spans="1:6">
      <c r="A47" s="196" t="s">
        <v>134</v>
      </c>
      <c r="B47" s="199">
        <v>1042</v>
      </c>
      <c r="C47" s="199">
        <v>-2182</v>
      </c>
      <c r="D47" s="196">
        <v>542</v>
      </c>
      <c r="E47" s="199">
        <v>-2076</v>
      </c>
      <c r="F47" s="199">
        <v>-1340</v>
      </c>
    </row>
    <row r="48" spans="1:6">
      <c r="A48" s="196"/>
      <c r="B48" s="199"/>
      <c r="C48" s="199"/>
      <c r="D48" s="196"/>
      <c r="E48" s="199"/>
      <c r="F48" s="199"/>
    </row>
    <row r="49" spans="1:11">
      <c r="A49" s="196" t="s">
        <v>135</v>
      </c>
      <c r="B49" s="197">
        <v>1.4774</v>
      </c>
      <c r="C49" s="197">
        <v>-5.0273000000000003</v>
      </c>
      <c r="D49" s="197">
        <v>1.2608999999999999</v>
      </c>
      <c r="E49" s="197">
        <v>-0.54969999999999997</v>
      </c>
      <c r="F49" s="196" t="s">
        <v>6</v>
      </c>
    </row>
    <row r="50" spans="1:11">
      <c r="A50" s="196"/>
      <c r="B50" s="197"/>
      <c r="C50" s="197"/>
      <c r="D50" s="197"/>
      <c r="E50" s="197"/>
      <c r="F50" s="196"/>
    </row>
    <row r="51" spans="1:11">
      <c r="A51" s="196" t="s">
        <v>136</v>
      </c>
      <c r="B51" s="197">
        <v>2.3E-2</v>
      </c>
      <c r="C51" s="197">
        <v>-5.6099999999999997E-2</v>
      </c>
      <c r="D51" s="197">
        <v>1.61E-2</v>
      </c>
      <c r="E51" s="197">
        <v>-6.5699999999999995E-2</v>
      </c>
      <c r="F51" s="197">
        <v>-4.5100000000000001E-2</v>
      </c>
    </row>
    <row r="52" spans="1:11">
      <c r="A52" s="196"/>
      <c r="B52" s="197"/>
      <c r="C52" s="197"/>
      <c r="D52" s="197"/>
      <c r="E52" s="197"/>
      <c r="F52" s="197"/>
    </row>
    <row r="54" spans="1:11" ht="24">
      <c r="A54" s="7" t="s">
        <v>137</v>
      </c>
    </row>
    <row r="56" spans="1:11">
      <c r="A56" s="5" t="s">
        <v>79</v>
      </c>
      <c r="B56" s="5">
        <v>2025</v>
      </c>
      <c r="C56" s="5">
        <v>2024</v>
      </c>
      <c r="D56" s="5">
        <v>2023</v>
      </c>
      <c r="E56" s="5">
        <v>2022</v>
      </c>
      <c r="F56" s="5">
        <v>2021</v>
      </c>
      <c r="G56" s="198" t="s">
        <v>3</v>
      </c>
      <c r="H56" s="198"/>
      <c r="I56" s="198"/>
      <c r="J56" s="198"/>
      <c r="K56" s="198"/>
    </row>
    <row r="57" spans="1:11">
      <c r="A57" s="196" t="s">
        <v>138</v>
      </c>
      <c r="B57" s="199">
        <v>-8460</v>
      </c>
      <c r="C57" s="199">
        <v>-5431</v>
      </c>
      <c r="D57" s="199">
        <v>-5875</v>
      </c>
      <c r="E57" s="196">
        <v>36</v>
      </c>
      <c r="F57" s="196">
        <v>-426</v>
      </c>
    </row>
    <row r="58" spans="1:11">
      <c r="A58" s="196"/>
      <c r="B58" s="199"/>
      <c r="C58" s="199"/>
      <c r="D58" s="199"/>
      <c r="E58" s="196"/>
      <c r="F58" s="196"/>
    </row>
    <row r="59" spans="1:11">
      <c r="A59" s="196" t="s">
        <v>139</v>
      </c>
      <c r="B59" s="199">
        <v>-9127</v>
      </c>
      <c r="C59" s="199">
        <v>-6264</v>
      </c>
      <c r="D59" s="199">
        <v>-6045</v>
      </c>
      <c r="E59" s="196" t="s">
        <v>6</v>
      </c>
      <c r="F59" s="196">
        <v>-600</v>
      </c>
    </row>
    <row r="60" spans="1:11">
      <c r="A60" s="196"/>
      <c r="B60" s="199"/>
      <c r="C60" s="199"/>
      <c r="D60" s="199"/>
      <c r="E60" s="196"/>
      <c r="F60" s="196"/>
    </row>
    <row r="61" spans="1:11">
      <c r="A61" t="s">
        <v>140</v>
      </c>
      <c r="B61">
        <v>667</v>
      </c>
      <c r="C61">
        <v>833</v>
      </c>
      <c r="D61">
        <v>170</v>
      </c>
      <c r="E61">
        <v>36</v>
      </c>
      <c r="F61">
        <v>174</v>
      </c>
    </row>
    <row r="62" spans="1:11">
      <c r="A62" t="s">
        <v>141</v>
      </c>
      <c r="B62">
        <v>667</v>
      </c>
      <c r="C62">
        <v>833</v>
      </c>
      <c r="D62">
        <v>170</v>
      </c>
      <c r="E62">
        <v>36</v>
      </c>
      <c r="F62">
        <v>174</v>
      </c>
    </row>
    <row r="63" spans="1:11">
      <c r="A63" s="196" t="s">
        <v>142</v>
      </c>
      <c r="B63" s="199">
        <v>-1833</v>
      </c>
      <c r="C63" s="199">
        <v>1394</v>
      </c>
      <c r="D63" s="196" t="s">
        <v>6</v>
      </c>
      <c r="E63" s="196">
        <v>-700</v>
      </c>
      <c r="F63" s="196">
        <v>-500</v>
      </c>
    </row>
    <row r="64" spans="1:11">
      <c r="A64" s="196"/>
      <c r="B64" s="199"/>
      <c r="C64" s="199"/>
      <c r="D64" s="196"/>
      <c r="E64" s="196"/>
      <c r="F64" s="196"/>
    </row>
    <row r="65" spans="1:6">
      <c r="A65" s="196" t="s">
        <v>143</v>
      </c>
      <c r="B65" s="199">
        <v>-1833</v>
      </c>
      <c r="C65" s="199">
        <v>1394</v>
      </c>
      <c r="D65" s="196" t="s">
        <v>6</v>
      </c>
      <c r="E65" s="196">
        <v>-700</v>
      </c>
      <c r="F65" s="196">
        <v>-500</v>
      </c>
    </row>
    <row r="66" spans="1:6">
      <c r="A66" s="196"/>
      <c r="B66" s="199"/>
      <c r="C66" s="199"/>
      <c r="D66" s="196"/>
      <c r="E66" s="196"/>
      <c r="F66" s="196"/>
    </row>
    <row r="67" spans="1:6">
      <c r="A67" t="s">
        <v>144</v>
      </c>
      <c r="B67" t="s">
        <v>6</v>
      </c>
      <c r="C67" s="3">
        <v>1794</v>
      </c>
      <c r="D67" t="s">
        <v>6</v>
      </c>
      <c r="E67" t="s">
        <v>6</v>
      </c>
      <c r="F67" t="s">
        <v>6</v>
      </c>
    </row>
    <row r="68" spans="1:6">
      <c r="A68" s="196" t="s">
        <v>145</v>
      </c>
      <c r="B68" s="199">
        <v>-1833</v>
      </c>
      <c r="C68" s="196">
        <v>-400</v>
      </c>
      <c r="D68" s="196" t="s">
        <v>6</v>
      </c>
      <c r="E68" s="196">
        <v>-700</v>
      </c>
      <c r="F68" s="196">
        <v>-500</v>
      </c>
    </row>
    <row r="69" spans="1:6">
      <c r="A69" s="196"/>
      <c r="B69" s="199"/>
      <c r="C69" s="196"/>
      <c r="D69" s="196"/>
      <c r="E69" s="196"/>
      <c r="F69" s="196"/>
    </row>
    <row r="70" spans="1:6">
      <c r="A70" s="196" t="s">
        <v>116</v>
      </c>
      <c r="B70" s="196">
        <v>-52</v>
      </c>
      <c r="C70" s="196">
        <v>-38</v>
      </c>
      <c r="D70" s="196">
        <v>-75</v>
      </c>
      <c r="E70" s="196" t="s">
        <v>6</v>
      </c>
      <c r="F70" s="196">
        <v>-224</v>
      </c>
    </row>
    <row r="71" spans="1:6">
      <c r="A71" s="196"/>
      <c r="B71" s="196"/>
      <c r="C71" s="196"/>
      <c r="D71" s="196"/>
      <c r="E71" s="196"/>
      <c r="F71" s="196"/>
    </row>
    <row r="72" spans="1:6">
      <c r="A72" s="196" t="s">
        <v>133</v>
      </c>
      <c r="B72" s="196">
        <v>-52</v>
      </c>
      <c r="C72" s="196">
        <v>-38</v>
      </c>
      <c r="D72" s="196">
        <v>-75</v>
      </c>
      <c r="E72" s="196" t="s">
        <v>6</v>
      </c>
      <c r="F72" s="196">
        <v>-224</v>
      </c>
    </row>
    <row r="73" spans="1:6">
      <c r="A73" s="196"/>
      <c r="B73" s="196"/>
      <c r="C73" s="196"/>
      <c r="D73" s="196"/>
      <c r="E73" s="196"/>
      <c r="F73" s="196"/>
    </row>
    <row r="74" spans="1:6">
      <c r="A74" s="196" t="s">
        <v>146</v>
      </c>
      <c r="B74" s="199">
        <v>-10346</v>
      </c>
      <c r="C74" s="199">
        <v>-4074</v>
      </c>
      <c r="D74" s="199">
        <v>-5951</v>
      </c>
      <c r="E74" s="196">
        <v>-664</v>
      </c>
      <c r="F74" s="199">
        <v>-1150</v>
      </c>
    </row>
    <row r="75" spans="1:6">
      <c r="A75" s="196"/>
      <c r="B75" s="199"/>
      <c r="C75" s="199"/>
      <c r="D75" s="199"/>
      <c r="E75" s="196"/>
      <c r="F75" s="199"/>
    </row>
    <row r="76" spans="1:6">
      <c r="A76" s="196" t="s">
        <v>147</v>
      </c>
      <c r="B76" s="197">
        <v>-1.5391999999999999</v>
      </c>
      <c r="C76" s="197">
        <v>0.31530000000000002</v>
      </c>
      <c r="D76" s="197">
        <v>-7.9585999999999997</v>
      </c>
      <c r="E76" s="197">
        <v>0.42230000000000001</v>
      </c>
      <c r="F76" s="196" t="s">
        <v>6</v>
      </c>
    </row>
    <row r="77" spans="1:6">
      <c r="A77" s="196"/>
      <c r="B77" s="197"/>
      <c r="C77" s="197"/>
      <c r="D77" s="197"/>
      <c r="E77" s="197"/>
      <c r="F77" s="196"/>
    </row>
    <row r="78" spans="1:6">
      <c r="A78" s="196" t="s">
        <v>148</v>
      </c>
      <c r="B78" s="197">
        <v>-0.22850000000000001</v>
      </c>
      <c r="C78" s="197">
        <v>-0.1048</v>
      </c>
      <c r="D78" s="197">
        <v>-0.17649999999999999</v>
      </c>
      <c r="E78" s="197">
        <v>-2.1000000000000001E-2</v>
      </c>
      <c r="F78" s="197">
        <v>-3.8699999999999998E-2</v>
      </c>
    </row>
    <row r="79" spans="1:6">
      <c r="A79" s="196"/>
      <c r="B79" s="197"/>
      <c r="C79" s="197"/>
      <c r="D79" s="197"/>
      <c r="E79" s="197"/>
      <c r="F79" s="197"/>
    </row>
    <row r="80" spans="1:6">
      <c r="A80" s="196" t="s">
        <v>149</v>
      </c>
      <c r="B80" s="196">
        <v>387</v>
      </c>
      <c r="C80" s="196">
        <v>-416</v>
      </c>
      <c r="D80" s="196">
        <v>83</v>
      </c>
      <c r="E80" s="196">
        <v>-170</v>
      </c>
      <c r="F80" s="196">
        <v>-87</v>
      </c>
    </row>
    <row r="81" spans="1:6">
      <c r="A81" s="196"/>
      <c r="B81" s="196"/>
      <c r="C81" s="196"/>
      <c r="D81" s="196"/>
      <c r="E81" s="196"/>
      <c r="F81" s="196"/>
    </row>
    <row r="82" spans="1:6">
      <c r="A82" s="196" t="s">
        <v>150</v>
      </c>
      <c r="B82" s="199">
        <v>1232</v>
      </c>
      <c r="C82" s="196">
        <v>689</v>
      </c>
      <c r="D82" s="199">
        <v>1948</v>
      </c>
      <c r="E82" s="196">
        <v>-885</v>
      </c>
      <c r="F82" s="199">
        <v>-2184</v>
      </c>
    </row>
    <row r="83" spans="1:6">
      <c r="A83" s="196"/>
      <c r="B83" s="199"/>
      <c r="C83" s="196"/>
      <c r="D83" s="199"/>
      <c r="E83" s="196"/>
      <c r="F83" s="199"/>
    </row>
    <row r="84" spans="1:6">
      <c r="A84" s="196" t="s">
        <v>151</v>
      </c>
      <c r="B84" s="199">
        <v>9461</v>
      </c>
      <c r="C84" s="199">
        <v>6922</v>
      </c>
      <c r="D84" s="199">
        <v>6926</v>
      </c>
      <c r="E84" s="199">
        <v>1619</v>
      </c>
      <c r="F84" s="196">
        <v>-132</v>
      </c>
    </row>
    <row r="85" spans="1:6">
      <c r="A85" s="196"/>
      <c r="B85" s="199"/>
      <c r="C85" s="199"/>
      <c r="D85" s="199"/>
      <c r="E85" s="199"/>
      <c r="F85" s="196"/>
    </row>
    <row r="86" spans="1:6">
      <c r="A86" s="196" t="s">
        <v>152</v>
      </c>
      <c r="B86" s="197">
        <v>0.36680000000000001</v>
      </c>
      <c r="C86" s="197">
        <v>-5.9999999999999995E-4</v>
      </c>
      <c r="D86" s="197">
        <v>3.2789999999999999</v>
      </c>
      <c r="E86" s="197">
        <v>13.2639</v>
      </c>
      <c r="F86" s="196" t="s">
        <v>6</v>
      </c>
    </row>
    <row r="87" spans="1:6">
      <c r="A87" s="196"/>
      <c r="B87" s="197"/>
      <c r="C87" s="197"/>
      <c r="D87" s="197"/>
      <c r="E87" s="197"/>
      <c r="F87" s="196"/>
    </row>
    <row r="88" spans="1:6">
      <c r="A88" t="s">
        <v>153</v>
      </c>
      <c r="B88" s="6">
        <v>2.3199999999999998E-2</v>
      </c>
      <c r="C88" t="s">
        <v>6</v>
      </c>
      <c r="D88" t="s">
        <v>6</v>
      </c>
      <c r="E88" t="s">
        <v>6</v>
      </c>
      <c r="F88" t="s">
        <v>6</v>
      </c>
    </row>
  </sheetData>
  <mergeCells count="201">
    <mergeCell ref="A86:A87"/>
    <mergeCell ref="B86:B87"/>
    <mergeCell ref="C86:C87"/>
    <mergeCell ref="D86:D87"/>
    <mergeCell ref="E86:E87"/>
    <mergeCell ref="F86:F87"/>
    <mergeCell ref="A84:A85"/>
    <mergeCell ref="B84:B85"/>
    <mergeCell ref="C84:C85"/>
    <mergeCell ref="D84:D85"/>
    <mergeCell ref="E84:E85"/>
    <mergeCell ref="F84:F85"/>
    <mergeCell ref="A82:A83"/>
    <mergeCell ref="B82:B83"/>
    <mergeCell ref="C82:C83"/>
    <mergeCell ref="D82:D83"/>
    <mergeCell ref="E82:E83"/>
    <mergeCell ref="F82:F83"/>
    <mergeCell ref="A80:A81"/>
    <mergeCell ref="B80:B81"/>
    <mergeCell ref="C80:C81"/>
    <mergeCell ref="D80:D81"/>
    <mergeCell ref="E80:E81"/>
    <mergeCell ref="F80:F81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F76:F77"/>
    <mergeCell ref="A74:A75"/>
    <mergeCell ref="B74:B75"/>
    <mergeCell ref="C74:C75"/>
    <mergeCell ref="D74:D75"/>
    <mergeCell ref="E74:E75"/>
    <mergeCell ref="F74:F75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F70:F71"/>
    <mergeCell ref="A68:A69"/>
    <mergeCell ref="B68:B69"/>
    <mergeCell ref="C68:C69"/>
    <mergeCell ref="D68:D69"/>
    <mergeCell ref="E68:E69"/>
    <mergeCell ref="F68:F69"/>
    <mergeCell ref="A65:A66"/>
    <mergeCell ref="B65:B66"/>
    <mergeCell ref="C65:C66"/>
    <mergeCell ref="D65:D66"/>
    <mergeCell ref="E65:E66"/>
    <mergeCell ref="F65:F66"/>
    <mergeCell ref="A63:A64"/>
    <mergeCell ref="B63:B64"/>
    <mergeCell ref="C63:C64"/>
    <mergeCell ref="D63:D64"/>
    <mergeCell ref="E63:E64"/>
    <mergeCell ref="F63:F64"/>
    <mergeCell ref="A59:A60"/>
    <mergeCell ref="B59:B60"/>
    <mergeCell ref="C59:C60"/>
    <mergeCell ref="D59:D60"/>
    <mergeCell ref="E59:E60"/>
    <mergeCell ref="F59:F60"/>
    <mergeCell ref="G56:K56"/>
    <mergeCell ref="A57:A58"/>
    <mergeCell ref="B57:B58"/>
    <mergeCell ref="C57:C58"/>
    <mergeCell ref="D57:D58"/>
    <mergeCell ref="E57:E58"/>
    <mergeCell ref="F57:F58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2:A43"/>
    <mergeCell ref="B42:B43"/>
    <mergeCell ref="C42:C43"/>
    <mergeCell ref="D42:D43"/>
    <mergeCell ref="E42:E43"/>
    <mergeCell ref="F42:F43"/>
    <mergeCell ref="A40:A41"/>
    <mergeCell ref="B40:B41"/>
    <mergeCell ref="C40:C41"/>
    <mergeCell ref="D40:D41"/>
    <mergeCell ref="E40:E41"/>
    <mergeCell ref="F40:F41"/>
    <mergeCell ref="A38:A39"/>
    <mergeCell ref="B38:B39"/>
    <mergeCell ref="C38:C39"/>
    <mergeCell ref="D38:D39"/>
    <mergeCell ref="E38:E39"/>
    <mergeCell ref="F38:F39"/>
    <mergeCell ref="A36:A37"/>
    <mergeCell ref="B36:B37"/>
    <mergeCell ref="C36:C37"/>
    <mergeCell ref="D36:D37"/>
    <mergeCell ref="E36:E37"/>
    <mergeCell ref="F36:F37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G29:K29"/>
    <mergeCell ref="A30:A31"/>
    <mergeCell ref="B30:B31"/>
    <mergeCell ref="C30:C31"/>
    <mergeCell ref="D30:D31"/>
    <mergeCell ref="E30:E31"/>
    <mergeCell ref="F30:F31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A12:A13"/>
    <mergeCell ref="B12:B13"/>
    <mergeCell ref="C12:C13"/>
    <mergeCell ref="D12:D13"/>
    <mergeCell ref="E12:E13"/>
    <mergeCell ref="F12:F13"/>
    <mergeCell ref="G3:K3"/>
    <mergeCell ref="A5:A6"/>
    <mergeCell ref="B5:B6"/>
    <mergeCell ref="C5:C6"/>
    <mergeCell ref="D5:D6"/>
    <mergeCell ref="E5:E6"/>
    <mergeCell ref="F5:F6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C064-6992-A34E-A650-2E654A71D5E6}">
  <dimension ref="A1:X74"/>
  <sheetViews>
    <sheetView topLeftCell="A40" zoomScale="110" zoomScaleNormal="110" workbookViewId="0">
      <selection activeCell="I31" sqref="I31"/>
    </sheetView>
  </sheetViews>
  <sheetFormatPr baseColWidth="10" defaultRowHeight="16"/>
  <cols>
    <col min="9" max="9" width="19.33203125" bestFit="1" customWidth="1"/>
    <col min="12" max="12" width="19.1640625" bestFit="1" customWidth="1"/>
    <col min="14" max="14" width="23.83203125" customWidth="1"/>
    <col min="16" max="16" width="13.1640625" bestFit="1" customWidth="1"/>
    <col min="17" max="17" width="11.5" bestFit="1" customWidth="1"/>
    <col min="21" max="21" width="13.33203125" bestFit="1" customWidth="1"/>
    <col min="24" max="24" width="11.6640625" bestFit="1" customWidth="1"/>
  </cols>
  <sheetData>
    <row r="1" spans="1:15">
      <c r="A1" s="31" t="s">
        <v>172</v>
      </c>
      <c r="B1" s="31"/>
      <c r="C1" s="31"/>
      <c r="D1" s="32"/>
      <c r="E1" s="33"/>
      <c r="F1" s="33"/>
      <c r="G1" s="33"/>
      <c r="H1" s="33"/>
      <c r="I1" s="33"/>
      <c r="J1" s="33"/>
      <c r="K1" s="33"/>
      <c r="L1" s="33"/>
    </row>
    <row r="2" spans="1:15">
      <c r="A2" s="31" t="s">
        <v>173</v>
      </c>
      <c r="B2" s="31"/>
      <c r="C2" s="31"/>
      <c r="D2" s="31"/>
      <c r="E2" s="33"/>
      <c r="F2" s="34"/>
      <c r="G2" s="33"/>
      <c r="H2" s="35"/>
      <c r="I2" s="33"/>
      <c r="J2" s="33"/>
      <c r="K2" s="35"/>
      <c r="L2" s="33"/>
    </row>
    <row r="3" spans="1:15">
      <c r="A3" s="33" t="s">
        <v>174</v>
      </c>
      <c r="B3" s="33"/>
      <c r="C3" s="32"/>
      <c r="D3" s="32"/>
      <c r="E3" s="33"/>
      <c r="F3" s="33"/>
      <c r="G3" s="33"/>
      <c r="H3" s="33"/>
      <c r="I3" s="33"/>
      <c r="J3" s="33"/>
      <c r="K3" s="33"/>
      <c r="L3" s="33"/>
    </row>
    <row r="4" spans="1:15">
      <c r="A4" s="33" t="s">
        <v>175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5">
      <c r="A5" s="33"/>
      <c r="B5" s="33"/>
      <c r="C5" s="33"/>
      <c r="D5" s="33"/>
      <c r="E5" s="200" t="s">
        <v>176</v>
      </c>
      <c r="F5" s="200"/>
      <c r="G5" s="200"/>
      <c r="H5" s="200"/>
      <c r="I5" s="36" t="s">
        <v>177</v>
      </c>
      <c r="J5" s="201" t="s">
        <v>176</v>
      </c>
      <c r="K5" s="201"/>
      <c r="L5" s="36" t="s">
        <v>178</v>
      </c>
    </row>
    <row r="6" spans="1:15">
      <c r="A6" s="33"/>
      <c r="B6" s="33"/>
      <c r="C6" s="33"/>
      <c r="D6" s="33"/>
      <c r="E6" s="37" t="s">
        <v>179</v>
      </c>
      <c r="F6" s="37" t="s">
        <v>180</v>
      </c>
      <c r="G6" s="37" t="s">
        <v>181</v>
      </c>
      <c r="H6" s="37" t="s">
        <v>182</v>
      </c>
      <c r="I6" s="38" t="s">
        <v>182</v>
      </c>
      <c r="J6" s="37" t="s">
        <v>179</v>
      </c>
      <c r="K6" s="37" t="s">
        <v>180</v>
      </c>
      <c r="L6" s="38" t="s">
        <v>180</v>
      </c>
    </row>
    <row r="7" spans="1:15">
      <c r="A7" s="33"/>
      <c r="B7" s="33"/>
      <c r="C7" s="33"/>
      <c r="D7" s="33"/>
      <c r="E7" s="39">
        <v>2025</v>
      </c>
      <c r="F7" s="39">
        <v>2025</v>
      </c>
      <c r="G7" s="39">
        <v>2025</v>
      </c>
      <c r="H7" s="39">
        <v>2025</v>
      </c>
      <c r="I7" s="40">
        <v>2025</v>
      </c>
      <c r="J7" s="39">
        <v>2026</v>
      </c>
      <c r="K7" s="39">
        <v>2026</v>
      </c>
      <c r="L7" s="40">
        <v>2026</v>
      </c>
    </row>
    <row r="8" spans="1:15">
      <c r="A8" s="33"/>
      <c r="B8" s="33"/>
      <c r="C8" s="33"/>
      <c r="D8" s="33"/>
      <c r="E8" s="33"/>
      <c r="F8" s="33"/>
      <c r="G8" s="33"/>
      <c r="H8" s="33"/>
      <c r="I8" s="41"/>
      <c r="J8" s="42"/>
      <c r="K8" s="42"/>
      <c r="L8" s="41"/>
    </row>
    <row r="9" spans="1:15">
      <c r="A9" s="33" t="s">
        <v>183</v>
      </c>
      <c r="B9" s="33"/>
      <c r="C9" s="33"/>
      <c r="D9" s="33"/>
      <c r="E9" s="43" t="s">
        <v>184</v>
      </c>
      <c r="F9" s="43" t="s">
        <v>185</v>
      </c>
      <c r="G9" s="43" t="s">
        <v>186</v>
      </c>
      <c r="H9" s="43" t="s">
        <v>187</v>
      </c>
      <c r="I9" s="44" t="s">
        <v>188</v>
      </c>
      <c r="J9" s="43" t="s">
        <v>189</v>
      </c>
      <c r="K9" s="43" t="s">
        <v>190</v>
      </c>
      <c r="L9" s="44" t="s">
        <v>191</v>
      </c>
      <c r="N9">
        <f>O9*2</f>
        <v>49619390</v>
      </c>
      <c r="O9" s="59">
        <v>24809695</v>
      </c>
    </row>
    <row r="10" spans="1:15">
      <c r="A10" s="33"/>
      <c r="B10" s="33" t="s">
        <v>192</v>
      </c>
      <c r="C10" s="33"/>
      <c r="D10" s="33"/>
      <c r="E10" s="45">
        <v>5263147</v>
      </c>
      <c r="F10" s="45">
        <v>5325311</v>
      </c>
      <c r="G10" s="45">
        <v>6164250</v>
      </c>
      <c r="H10" s="45">
        <v>6522621</v>
      </c>
      <c r="I10" s="46">
        <v>23275329</v>
      </c>
      <c r="J10" s="45">
        <v>5888238</v>
      </c>
      <c r="K10" s="45">
        <v>6036965</v>
      </c>
      <c r="L10" s="46">
        <v>11925203</v>
      </c>
    </row>
    <row r="11" spans="1:15">
      <c r="A11" s="33"/>
      <c r="B11" s="33" t="s">
        <v>193</v>
      </c>
      <c r="C11" s="33"/>
      <c r="D11" s="33"/>
      <c r="E11" s="45">
        <v>688370</v>
      </c>
      <c r="F11" s="45">
        <v>713265</v>
      </c>
      <c r="G11" s="45">
        <v>786295</v>
      </c>
      <c r="H11" s="45">
        <v>1113376</v>
      </c>
      <c r="I11" s="46">
        <v>3301306</v>
      </c>
      <c r="J11" s="45">
        <v>842217</v>
      </c>
      <c r="K11" s="45">
        <v>823838</v>
      </c>
      <c r="L11" s="46">
        <v>1666055</v>
      </c>
    </row>
    <row r="12" spans="1:15">
      <c r="A12" s="33"/>
      <c r="B12" s="33" t="s">
        <v>194</v>
      </c>
      <c r="C12" s="33"/>
      <c r="D12" s="33"/>
      <c r="E12" s="45">
        <v>822823</v>
      </c>
      <c r="F12" s="45">
        <v>824683</v>
      </c>
      <c r="G12" s="45">
        <v>853584</v>
      </c>
      <c r="H12" s="45">
        <v>890300</v>
      </c>
      <c r="I12" s="46">
        <v>3391390</v>
      </c>
      <c r="J12" s="45">
        <v>959696</v>
      </c>
      <c r="K12" s="45">
        <v>1007675</v>
      </c>
      <c r="L12" s="46">
        <v>1967371</v>
      </c>
    </row>
    <row r="13" spans="1:15">
      <c r="A13" s="33"/>
      <c r="B13" s="33" t="s">
        <v>195</v>
      </c>
      <c r="C13" s="33"/>
      <c r="D13" s="33"/>
      <c r="E13" s="47">
        <v>421462</v>
      </c>
      <c r="F13" s="47">
        <v>441213</v>
      </c>
      <c r="G13" s="47">
        <v>457931</v>
      </c>
      <c r="H13" s="47">
        <v>567802</v>
      </c>
      <c r="I13" s="46">
        <v>1888408</v>
      </c>
      <c r="J13" s="47">
        <v>602609</v>
      </c>
      <c r="K13" s="47">
        <v>498850</v>
      </c>
      <c r="L13" s="46">
        <v>1101459</v>
      </c>
    </row>
    <row r="14" spans="1:15">
      <c r="A14" s="33" t="s">
        <v>196</v>
      </c>
      <c r="B14" s="33"/>
      <c r="C14" s="33"/>
      <c r="D14" s="33"/>
      <c r="E14" s="48">
        <v>3346999</v>
      </c>
      <c r="F14" s="48">
        <v>3774694</v>
      </c>
      <c r="G14" s="48">
        <v>3248247</v>
      </c>
      <c r="H14" s="48">
        <v>2956663</v>
      </c>
      <c r="I14" s="49">
        <v>13326603</v>
      </c>
      <c r="J14" s="48">
        <v>3956997</v>
      </c>
      <c r="K14" s="48">
        <v>4192610</v>
      </c>
      <c r="L14" s="49">
        <v>8149607</v>
      </c>
      <c r="N14" s="63">
        <v>8149</v>
      </c>
      <c r="O14">
        <f>N14/50%</f>
        <v>16298</v>
      </c>
    </row>
    <row r="15" spans="1:15">
      <c r="A15" s="33" t="s">
        <v>197</v>
      </c>
      <c r="B15" s="33"/>
      <c r="C15" s="33"/>
      <c r="D15" s="33"/>
      <c r="E15" s="48"/>
      <c r="F15" s="48"/>
      <c r="G15" s="48"/>
      <c r="H15" s="48"/>
      <c r="I15" s="46"/>
      <c r="J15" s="48"/>
      <c r="K15" s="48"/>
      <c r="L15" s="46"/>
    </row>
    <row r="16" spans="1:15">
      <c r="A16" s="33"/>
      <c r="B16" s="33" t="s">
        <v>198</v>
      </c>
      <c r="C16" s="33"/>
      <c r="D16" s="33"/>
      <c r="E16" s="48">
        <v>-184172</v>
      </c>
      <c r="F16" s="48">
        <v>-182649</v>
      </c>
      <c r="G16" s="48">
        <v>-175294</v>
      </c>
      <c r="H16" s="48">
        <v>-234395</v>
      </c>
      <c r="I16" s="46">
        <v>-776510</v>
      </c>
      <c r="J16" s="48">
        <v>-262077</v>
      </c>
      <c r="K16" s="48">
        <v>-175685</v>
      </c>
      <c r="L16" s="46">
        <v>-437762</v>
      </c>
      <c r="M16" s="16">
        <f>437762/14462000</f>
        <v>3.0269810537961555E-2</v>
      </c>
    </row>
    <row r="17" spans="1:15">
      <c r="A17" s="33"/>
      <c r="B17" s="33" t="s">
        <v>199</v>
      </c>
      <c r="C17" s="33"/>
      <c r="D17" s="33"/>
      <c r="E17" s="48">
        <v>50899</v>
      </c>
      <c r="F17" s="48">
        <v>39630</v>
      </c>
      <c r="G17" s="48">
        <v>36457</v>
      </c>
      <c r="H17" s="48">
        <v>45473</v>
      </c>
      <c r="I17" s="46">
        <v>172459</v>
      </c>
      <c r="J17" s="48">
        <v>2852166</v>
      </c>
      <c r="K17" s="48">
        <v>51661</v>
      </c>
      <c r="L17" s="46">
        <v>2903827</v>
      </c>
      <c r="N17" s="49">
        <v>8149607</v>
      </c>
    </row>
    <row r="18" spans="1:15">
      <c r="A18" s="33" t="s">
        <v>200</v>
      </c>
      <c r="B18" s="33"/>
      <c r="C18" s="33"/>
      <c r="D18" s="33"/>
      <c r="E18" s="50">
        <v>3213726</v>
      </c>
      <c r="F18" s="50">
        <v>3631675</v>
      </c>
      <c r="G18" s="50">
        <v>3109410</v>
      </c>
      <c r="H18" s="50">
        <v>2767741</v>
      </c>
      <c r="I18" s="49">
        <v>12722552</v>
      </c>
      <c r="J18" s="50">
        <v>6547086</v>
      </c>
      <c r="K18" s="50">
        <v>4068586</v>
      </c>
      <c r="L18" s="49">
        <v>10615672</v>
      </c>
      <c r="N18" s="46">
        <v>1931467</v>
      </c>
    </row>
    <row r="19" spans="1:15">
      <c r="A19" s="33" t="s">
        <v>201</v>
      </c>
      <c r="B19" s="33"/>
      <c r="C19" s="33"/>
      <c r="D19" s="33"/>
      <c r="E19" s="51">
        <v>-323375</v>
      </c>
      <c r="F19" s="51">
        <v>-506262</v>
      </c>
      <c r="G19" s="51">
        <v>-562494</v>
      </c>
      <c r="H19" s="51">
        <v>-349220</v>
      </c>
      <c r="I19" s="46">
        <v>-1741351</v>
      </c>
      <c r="J19" s="51">
        <v>-1264295</v>
      </c>
      <c r="K19" s="51">
        <v>-667172</v>
      </c>
      <c r="L19" s="46">
        <v>-1931467</v>
      </c>
    </row>
    <row r="20" spans="1:15" ht="17" thickBot="1">
      <c r="A20" s="33" t="s">
        <v>202</v>
      </c>
      <c r="B20" s="33"/>
      <c r="C20" s="33"/>
      <c r="D20" s="33"/>
      <c r="E20" s="52" t="s">
        <v>203</v>
      </c>
      <c r="F20" s="52" t="s">
        <v>204</v>
      </c>
      <c r="G20" s="52" t="s">
        <v>205</v>
      </c>
      <c r="H20" s="52" t="s">
        <v>206</v>
      </c>
      <c r="I20" s="53" t="s">
        <v>207</v>
      </c>
      <c r="J20" s="52" t="s">
        <v>208</v>
      </c>
      <c r="K20" s="52" t="s">
        <v>209</v>
      </c>
      <c r="L20" s="53" t="s">
        <v>210</v>
      </c>
    </row>
    <row r="21" spans="1:15">
      <c r="A21" s="33" t="s">
        <v>211</v>
      </c>
      <c r="B21" s="33"/>
      <c r="C21" s="33"/>
      <c r="D21" s="33"/>
      <c r="E21" s="54"/>
      <c r="F21" s="54"/>
      <c r="G21" s="54"/>
      <c r="H21" s="54"/>
      <c r="I21" s="55"/>
      <c r="J21" s="54"/>
      <c r="K21" s="54"/>
      <c r="L21" s="55"/>
    </row>
    <row r="22" spans="1:15">
      <c r="A22" s="33"/>
      <c r="B22" s="33" t="s">
        <v>212</v>
      </c>
      <c r="C22" s="33"/>
      <c r="D22" s="33"/>
      <c r="E22" s="56" t="s">
        <v>213</v>
      </c>
      <c r="F22" s="56" t="s">
        <v>214</v>
      </c>
      <c r="G22" s="56" t="s">
        <v>215</v>
      </c>
      <c r="H22" s="56" t="s">
        <v>216</v>
      </c>
      <c r="I22" s="57" t="s">
        <v>217</v>
      </c>
      <c r="J22" s="56" t="s">
        <v>218</v>
      </c>
      <c r="K22" s="56" t="s">
        <v>219</v>
      </c>
      <c r="L22" s="57" t="s">
        <v>220</v>
      </c>
    </row>
    <row r="23" spans="1:15">
      <c r="A23" s="33"/>
      <c r="B23" s="33" t="s">
        <v>221</v>
      </c>
      <c r="C23" s="33"/>
      <c r="D23" s="33"/>
      <c r="E23" s="56" t="s">
        <v>222</v>
      </c>
      <c r="F23" s="56" t="s">
        <v>223</v>
      </c>
      <c r="G23" s="56" t="s">
        <v>224</v>
      </c>
      <c r="H23" s="56" t="s">
        <v>225</v>
      </c>
      <c r="I23" s="57" t="s">
        <v>226</v>
      </c>
      <c r="J23" s="56" t="s">
        <v>227</v>
      </c>
      <c r="K23" s="56" t="s">
        <v>228</v>
      </c>
      <c r="L23" s="57" t="s">
        <v>229</v>
      </c>
    </row>
    <row r="24" spans="1:15">
      <c r="A24" s="33" t="s">
        <v>230</v>
      </c>
      <c r="B24" s="33"/>
      <c r="C24" s="33"/>
      <c r="D24" s="33"/>
      <c r="E24" s="58"/>
      <c r="F24" s="58"/>
      <c r="G24" s="58"/>
      <c r="H24" s="58"/>
      <c r="I24" s="41"/>
      <c r="J24" s="58"/>
      <c r="K24" s="58"/>
      <c r="L24" s="41"/>
    </row>
    <row r="25" spans="1:15">
      <c r="A25" s="33"/>
      <c r="B25" s="33" t="s">
        <v>212</v>
      </c>
      <c r="C25" s="33"/>
      <c r="D25" s="33"/>
      <c r="E25" s="58">
        <v>4272695</v>
      </c>
      <c r="F25" s="58">
        <v>4252112</v>
      </c>
      <c r="G25" s="58">
        <v>4244553</v>
      </c>
      <c r="H25" s="58">
        <v>4229221</v>
      </c>
      <c r="I25" s="46">
        <v>4249512</v>
      </c>
      <c r="J25" s="58">
        <v>4222787</v>
      </c>
      <c r="K25" s="58">
        <v>4189303</v>
      </c>
      <c r="L25" s="46">
        <v>4205952</v>
      </c>
      <c r="N25" t="s">
        <v>327</v>
      </c>
      <c r="O25" s="21">
        <v>4250</v>
      </c>
    </row>
    <row r="26" spans="1:15">
      <c r="A26" s="33"/>
      <c r="B26" s="33" t="s">
        <v>221</v>
      </c>
      <c r="C26" s="33"/>
      <c r="D26" s="33"/>
      <c r="E26" s="58">
        <v>4369623</v>
      </c>
      <c r="F26" s="58">
        <v>4348825</v>
      </c>
      <c r="G26" s="58">
        <v>4340392</v>
      </c>
      <c r="H26" s="58">
        <v>4317144</v>
      </c>
      <c r="I26" s="46">
        <v>4343863</v>
      </c>
      <c r="J26" s="58">
        <v>4298437</v>
      </c>
      <c r="K26" s="58">
        <v>4261300</v>
      </c>
      <c r="L26" s="46">
        <v>4279776</v>
      </c>
    </row>
    <row r="27" spans="1:1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31" spans="1:15">
      <c r="A31" s="64"/>
      <c r="B31" s="64"/>
      <c r="C31" s="64"/>
      <c r="D31" s="65"/>
      <c r="E31" s="65"/>
      <c r="F31" s="66"/>
      <c r="G31" s="66"/>
      <c r="H31" s="66"/>
      <c r="I31" s="66"/>
      <c r="J31" s="66"/>
      <c r="K31" s="67"/>
      <c r="L31" s="68"/>
      <c r="M31" s="68"/>
      <c r="N31" s="67"/>
    </row>
    <row r="32" spans="1:15">
      <c r="A32" s="65" t="s">
        <v>202</v>
      </c>
      <c r="B32" s="65"/>
      <c r="C32" s="65"/>
      <c r="D32" s="65"/>
      <c r="E32" s="65"/>
      <c r="F32" s="66"/>
      <c r="G32" s="69">
        <v>2890351</v>
      </c>
      <c r="H32" s="69">
        <v>3125413</v>
      </c>
      <c r="I32" s="69">
        <v>2546916</v>
      </c>
      <c r="J32" s="69">
        <v>2418521</v>
      </c>
      <c r="K32" s="70">
        <v>10981201</v>
      </c>
      <c r="L32" s="69">
        <v>5282791</v>
      </c>
      <c r="M32" s="69">
        <v>3401414</v>
      </c>
      <c r="N32" s="70">
        <v>8684205</v>
      </c>
    </row>
    <row r="33" spans="1:24">
      <c r="A33" s="65" t="s">
        <v>231</v>
      </c>
      <c r="B33" s="65"/>
      <c r="C33" s="65"/>
      <c r="D33" s="65"/>
      <c r="E33" s="65"/>
      <c r="F33" s="66"/>
      <c r="G33" s="71"/>
      <c r="H33" s="71"/>
      <c r="I33" s="71"/>
      <c r="J33" s="71"/>
      <c r="K33" s="72"/>
      <c r="L33" s="71"/>
      <c r="M33" s="71"/>
      <c r="N33" s="72"/>
    </row>
    <row r="34" spans="1:24">
      <c r="A34" s="65"/>
      <c r="B34" s="65" t="s">
        <v>232</v>
      </c>
      <c r="C34" s="65"/>
      <c r="D34" s="65"/>
      <c r="E34" s="65"/>
      <c r="F34" s="66"/>
      <c r="G34" s="71"/>
      <c r="H34" s="71"/>
      <c r="I34" s="71"/>
      <c r="J34" s="71"/>
      <c r="K34" s="72"/>
      <c r="L34" s="71"/>
      <c r="M34" s="71"/>
      <c r="N34" s="72"/>
    </row>
    <row r="35" spans="1:24">
      <c r="A35" s="65"/>
      <c r="B35" s="65"/>
      <c r="C35" s="65" t="s">
        <v>233</v>
      </c>
      <c r="D35" s="65"/>
      <c r="E35" s="65"/>
      <c r="F35" s="66"/>
      <c r="G35" s="71">
        <v>-3549657</v>
      </c>
      <c r="H35" s="71">
        <v>-3835813</v>
      </c>
      <c r="I35" s="71">
        <v>-4653935</v>
      </c>
      <c r="J35" s="71">
        <v>-5057212</v>
      </c>
      <c r="K35" s="72">
        <v>-17096617</v>
      </c>
      <c r="L35" s="71">
        <v>-4846917</v>
      </c>
      <c r="M35" s="71">
        <v>-4927523</v>
      </c>
      <c r="N35" s="72">
        <v>-9774440</v>
      </c>
    </row>
    <row r="36" spans="1:24">
      <c r="A36" s="65"/>
      <c r="B36" s="65"/>
      <c r="C36" s="65" t="s">
        <v>234</v>
      </c>
      <c r="D36" s="65"/>
      <c r="E36" s="65"/>
      <c r="F36" s="66"/>
      <c r="G36" s="71">
        <v>-411253</v>
      </c>
      <c r="H36" s="71">
        <v>-214052</v>
      </c>
      <c r="I36" s="71">
        <v>24262</v>
      </c>
      <c r="J36" s="71">
        <v>-9795</v>
      </c>
      <c r="K36" s="72">
        <v>-610838</v>
      </c>
      <c r="L36" s="71">
        <v>45216</v>
      </c>
      <c r="M36" s="71">
        <v>-181794</v>
      </c>
      <c r="N36" s="72">
        <v>-136578</v>
      </c>
      <c r="P36" s="88">
        <v>2025</v>
      </c>
      <c r="Q36" s="88" t="s">
        <v>318</v>
      </c>
      <c r="R36" s="88" t="s">
        <v>319</v>
      </c>
      <c r="S36" s="88" t="s">
        <v>320</v>
      </c>
      <c r="T36" s="88"/>
      <c r="U36" s="88" t="s">
        <v>322</v>
      </c>
      <c r="V36" s="88" t="s">
        <v>318</v>
      </c>
      <c r="W36" s="88" t="s">
        <v>319</v>
      </c>
      <c r="X36" s="88" t="s">
        <v>321</v>
      </c>
    </row>
    <row r="37" spans="1:24">
      <c r="A37" s="65"/>
      <c r="B37" s="65"/>
      <c r="C37" s="65" t="s">
        <v>235</v>
      </c>
      <c r="D37" s="65"/>
      <c r="E37" s="65"/>
      <c r="F37" s="66"/>
      <c r="G37" s="71">
        <v>3823112</v>
      </c>
      <c r="H37" s="71">
        <v>3832074</v>
      </c>
      <c r="I37" s="71">
        <v>4002744</v>
      </c>
      <c r="J37" s="71">
        <v>4764236</v>
      </c>
      <c r="K37" s="72">
        <v>16422166</v>
      </c>
      <c r="L37" s="71">
        <v>4217900</v>
      </c>
      <c r="M37" s="71">
        <v>4311309</v>
      </c>
      <c r="N37" s="72">
        <v>8529209</v>
      </c>
      <c r="P37" s="168">
        <f>SUM(K37:K38)</f>
        <v>16755555</v>
      </c>
      <c r="Q37" s="169">
        <f>SUM(G37:H38)</f>
        <v>7815266</v>
      </c>
      <c r="R37" s="169">
        <f>SUM(I37:J38)</f>
        <v>8940289</v>
      </c>
      <c r="S37" s="170">
        <f>R37-Q37</f>
        <v>1125023</v>
      </c>
      <c r="T37" s="88"/>
      <c r="U37" s="169"/>
      <c r="V37" s="169">
        <f>SUM(N37:N38)</f>
        <v>8728314</v>
      </c>
      <c r="W37" s="169">
        <f>V37*(1+10%)</f>
        <v>9601145.4000000004</v>
      </c>
      <c r="X37" s="169">
        <f>SUM(V37:W37)</f>
        <v>18329459.399999999</v>
      </c>
    </row>
    <row r="38" spans="1:24">
      <c r="A38" s="65"/>
      <c r="B38" s="65"/>
      <c r="C38" s="65" t="s">
        <v>236</v>
      </c>
      <c r="D38" s="65"/>
      <c r="E38" s="65"/>
      <c r="F38" s="66"/>
      <c r="G38" s="71">
        <v>80067</v>
      </c>
      <c r="H38" s="71">
        <v>80013</v>
      </c>
      <c r="I38" s="71">
        <v>87326</v>
      </c>
      <c r="J38" s="71">
        <v>85983</v>
      </c>
      <c r="K38" s="72">
        <v>333389</v>
      </c>
      <c r="L38" s="71">
        <v>98575</v>
      </c>
      <c r="M38" s="71">
        <v>100530</v>
      </c>
      <c r="N38" s="72">
        <v>199105</v>
      </c>
      <c r="P38" s="88"/>
      <c r="Q38" s="88"/>
      <c r="R38" s="88"/>
      <c r="S38" s="171">
        <f>S37/Q37</f>
        <v>0.14395197809006116</v>
      </c>
      <c r="T38" s="88"/>
      <c r="U38" s="88"/>
      <c r="V38" s="88"/>
      <c r="W38" s="88"/>
      <c r="X38" s="88"/>
    </row>
    <row r="39" spans="1:24">
      <c r="A39" s="65"/>
      <c r="B39" s="65"/>
      <c r="C39" s="65" t="s">
        <v>237</v>
      </c>
      <c r="D39" s="65"/>
      <c r="E39" s="65"/>
      <c r="F39" s="66"/>
      <c r="G39" s="71">
        <v>71977</v>
      </c>
      <c r="H39" s="71">
        <v>80862</v>
      </c>
      <c r="I39" s="71">
        <v>80986</v>
      </c>
      <c r="J39" s="71">
        <v>134624</v>
      </c>
      <c r="K39" s="72">
        <v>368449</v>
      </c>
      <c r="L39" s="71">
        <v>140405</v>
      </c>
      <c r="M39" s="71">
        <v>131312</v>
      </c>
      <c r="N39" s="72">
        <v>271717</v>
      </c>
      <c r="P39" s="88" t="s">
        <v>323</v>
      </c>
      <c r="Q39" s="170">
        <f>SUM(X37-P37)</f>
        <v>1573904.3999999985</v>
      </c>
      <c r="R39" s="172">
        <f>Q39/X37</f>
        <v>8.5867475174963348E-2</v>
      </c>
      <c r="S39" s="88"/>
      <c r="T39" s="88"/>
      <c r="U39" s="88"/>
      <c r="V39" s="88"/>
      <c r="W39" s="88"/>
      <c r="X39" s="88"/>
    </row>
    <row r="40" spans="1:24">
      <c r="A40" s="65"/>
      <c r="B40" s="65"/>
      <c r="C40" s="65" t="s">
        <v>238</v>
      </c>
      <c r="D40" s="65"/>
      <c r="E40" s="65"/>
      <c r="F40" s="66"/>
      <c r="G40" s="71">
        <v>28547</v>
      </c>
      <c r="H40" s="71">
        <v>55238</v>
      </c>
      <c r="I40" s="71">
        <v>-1707</v>
      </c>
      <c r="J40" s="71">
        <v>-9730</v>
      </c>
      <c r="K40" s="72">
        <v>72348</v>
      </c>
      <c r="L40" s="71">
        <v>-10110</v>
      </c>
      <c r="M40" s="71">
        <v>-8813</v>
      </c>
      <c r="N40" s="72">
        <v>-18923</v>
      </c>
    </row>
    <row r="41" spans="1:24">
      <c r="A41" s="65"/>
      <c r="B41" s="65"/>
      <c r="C41" s="65" t="s">
        <v>239</v>
      </c>
      <c r="D41" s="65"/>
      <c r="E41" s="65"/>
      <c r="F41" s="66"/>
      <c r="G41" s="71">
        <v>114730</v>
      </c>
      <c r="H41" s="71">
        <v>120139</v>
      </c>
      <c r="I41" s="71">
        <v>142293</v>
      </c>
      <c r="J41" s="71">
        <v>200289</v>
      </c>
      <c r="K41" s="72">
        <v>577451</v>
      </c>
      <c r="L41" s="71">
        <v>198227</v>
      </c>
      <c r="M41" s="71">
        <v>141356</v>
      </c>
      <c r="N41" s="72">
        <v>339583</v>
      </c>
    </row>
    <row r="42" spans="1:24">
      <c r="A42" s="65"/>
      <c r="B42" s="65"/>
      <c r="C42" s="65" t="s">
        <v>240</v>
      </c>
      <c r="D42" s="65"/>
      <c r="E42" s="65"/>
      <c r="F42" s="66"/>
      <c r="G42" s="71">
        <v>-163928</v>
      </c>
      <c r="H42" s="71">
        <v>-135755</v>
      </c>
      <c r="I42" s="71">
        <v>20539</v>
      </c>
      <c r="J42" s="71">
        <v>-162912</v>
      </c>
      <c r="K42" s="72">
        <v>-442056</v>
      </c>
      <c r="L42" s="71">
        <v>58819</v>
      </c>
      <c r="M42" s="71">
        <v>81260</v>
      </c>
      <c r="N42" s="72">
        <v>140079</v>
      </c>
    </row>
    <row r="43" spans="1:24">
      <c r="A43" s="65"/>
      <c r="B43" s="65"/>
      <c r="C43" s="65" t="s">
        <v>241</v>
      </c>
      <c r="D43" s="65"/>
      <c r="E43" s="65"/>
      <c r="F43" s="66"/>
      <c r="G43" s="71"/>
      <c r="H43" s="71"/>
      <c r="I43" s="71"/>
      <c r="J43" s="71"/>
      <c r="K43" s="72"/>
      <c r="L43" s="71"/>
      <c r="M43" s="71"/>
      <c r="N43" s="72"/>
    </row>
    <row r="44" spans="1:24">
      <c r="A44" s="65"/>
      <c r="B44" s="65"/>
      <c r="C44" s="65"/>
      <c r="D44" s="65" t="s">
        <v>242</v>
      </c>
      <c r="E44" s="65"/>
      <c r="F44" s="66"/>
      <c r="G44" s="71">
        <v>-131367</v>
      </c>
      <c r="H44" s="71">
        <v>-176683</v>
      </c>
      <c r="I44" s="71">
        <v>-169597</v>
      </c>
      <c r="J44" s="71">
        <v>-313014</v>
      </c>
      <c r="K44" s="72">
        <v>-790661</v>
      </c>
      <c r="L44" s="71">
        <v>-704640</v>
      </c>
      <c r="M44" s="71">
        <v>111713</v>
      </c>
      <c r="N44" s="72">
        <v>-592927</v>
      </c>
    </row>
    <row r="45" spans="1:24">
      <c r="A45" s="65"/>
      <c r="B45" s="65"/>
      <c r="C45" s="65"/>
      <c r="D45" s="65" t="s">
        <v>243</v>
      </c>
      <c r="E45" s="65"/>
      <c r="F45" s="66"/>
      <c r="G45" s="71">
        <v>-276426</v>
      </c>
      <c r="H45" s="71">
        <v>11046</v>
      </c>
      <c r="I45" s="71">
        <v>139451</v>
      </c>
      <c r="J45" s="71">
        <v>117890</v>
      </c>
      <c r="K45" s="72">
        <v>-8039</v>
      </c>
      <c r="L45" s="71">
        <v>154</v>
      </c>
      <c r="M45" s="71">
        <v>-157397</v>
      </c>
      <c r="N45" s="72">
        <v>-157243</v>
      </c>
    </row>
    <row r="46" spans="1:24">
      <c r="A46" s="65"/>
      <c r="B46" s="65"/>
      <c r="C46" s="65"/>
      <c r="D46" s="65" t="s">
        <v>244</v>
      </c>
      <c r="E46" s="65"/>
      <c r="F46" s="66"/>
      <c r="G46" s="71">
        <v>306413</v>
      </c>
      <c r="H46" s="71">
        <v>-267235</v>
      </c>
      <c r="I46" s="71">
        <v>707151</v>
      </c>
      <c r="J46" s="71">
        <v>134889</v>
      </c>
      <c r="K46" s="72">
        <v>881218</v>
      </c>
      <c r="L46" s="71">
        <v>1295904</v>
      </c>
      <c r="M46" s="71">
        <v>-1249793</v>
      </c>
      <c r="N46" s="72">
        <v>46111</v>
      </c>
    </row>
    <row r="47" spans="1:24">
      <c r="A47" s="65"/>
      <c r="B47" s="65"/>
      <c r="C47" s="65"/>
      <c r="D47" s="65" t="s">
        <v>245</v>
      </c>
      <c r="E47" s="65"/>
      <c r="F47" s="66"/>
      <c r="G47" s="71">
        <v>88913</v>
      </c>
      <c r="H47" s="71">
        <v>118635</v>
      </c>
      <c r="I47" s="71">
        <v>-3686</v>
      </c>
      <c r="J47" s="71">
        <v>51055</v>
      </c>
      <c r="K47" s="72">
        <v>254917</v>
      </c>
      <c r="L47" s="71">
        <v>-32282</v>
      </c>
      <c r="M47" s="71">
        <v>54008</v>
      </c>
      <c r="N47" s="72">
        <v>21726</v>
      </c>
    </row>
    <row r="48" spans="1:24">
      <c r="A48" s="65"/>
      <c r="B48" s="65"/>
      <c r="C48" s="65"/>
      <c r="D48" s="65" t="s">
        <v>246</v>
      </c>
      <c r="E48" s="65"/>
      <c r="F48" s="66"/>
      <c r="G48" s="73">
        <v>-82280</v>
      </c>
      <c r="H48" s="73">
        <v>-370624</v>
      </c>
      <c r="I48" s="73">
        <v>-97569</v>
      </c>
      <c r="J48" s="73">
        <v>-243182</v>
      </c>
      <c r="K48" s="72">
        <v>-793655</v>
      </c>
      <c r="L48" s="73">
        <v>-453837</v>
      </c>
      <c r="M48" s="73">
        <v>-63770</v>
      </c>
      <c r="N48" s="72">
        <v>-517607</v>
      </c>
    </row>
    <row r="49" spans="1:14">
      <c r="A49" s="65"/>
      <c r="B49" s="65"/>
      <c r="C49" s="65"/>
      <c r="D49" s="65"/>
      <c r="E49" s="65"/>
      <c r="F49" s="65" t="s">
        <v>247</v>
      </c>
      <c r="G49" s="74">
        <v>2789199</v>
      </c>
      <c r="H49" s="74">
        <v>2423258</v>
      </c>
      <c r="I49" s="74">
        <v>2825174</v>
      </c>
      <c r="J49" s="74">
        <v>2111642</v>
      </c>
      <c r="K49" s="75">
        <v>10149273</v>
      </c>
      <c r="L49" s="74">
        <v>5290205</v>
      </c>
      <c r="M49" s="74">
        <v>1743812</v>
      </c>
      <c r="N49" s="75">
        <v>7034017</v>
      </c>
    </row>
    <row r="50" spans="1:14">
      <c r="A50" s="64"/>
      <c r="B50" s="65"/>
      <c r="C50" s="65"/>
      <c r="D50" s="65"/>
      <c r="E50" s="65"/>
      <c r="F50" s="66"/>
      <c r="G50" s="66"/>
      <c r="H50" s="66"/>
      <c r="I50" s="66"/>
      <c r="J50" s="66"/>
      <c r="K50" s="72"/>
      <c r="L50" s="66"/>
      <c r="M50" s="66"/>
      <c r="N50" s="72"/>
    </row>
    <row r="51" spans="1:14">
      <c r="A51" s="65" t="s">
        <v>248</v>
      </c>
      <c r="B51" s="65"/>
      <c r="C51" s="65"/>
      <c r="D51" s="65"/>
      <c r="E51" s="65"/>
      <c r="F51" s="66"/>
      <c r="G51" s="71">
        <v>-128277</v>
      </c>
      <c r="H51" s="71">
        <v>-155889</v>
      </c>
      <c r="I51" s="71">
        <v>-164719</v>
      </c>
      <c r="J51" s="71">
        <v>-239335</v>
      </c>
      <c r="K51" s="72">
        <v>-688220</v>
      </c>
      <c r="L51" s="71">
        <v>-196130</v>
      </c>
      <c r="M51" s="71">
        <v>-218644</v>
      </c>
      <c r="N51" s="72">
        <v>-414774</v>
      </c>
    </row>
    <row r="52" spans="1:14">
      <c r="A52" s="65" t="s">
        <v>249</v>
      </c>
      <c r="B52" s="65"/>
      <c r="C52" s="65"/>
      <c r="D52" s="65"/>
      <c r="E52" s="65"/>
      <c r="F52" s="66"/>
      <c r="G52" s="71">
        <v>0</v>
      </c>
      <c r="H52" s="71">
        <v>0</v>
      </c>
      <c r="I52" s="71">
        <v>0</v>
      </c>
      <c r="J52" s="71">
        <v>-17194</v>
      </c>
      <c r="K52" s="72">
        <v>-17194</v>
      </c>
      <c r="L52" s="71">
        <v>-585744</v>
      </c>
      <c r="M52" s="71">
        <v>0</v>
      </c>
      <c r="N52" s="72">
        <v>-585744</v>
      </c>
    </row>
    <row r="53" spans="1:14">
      <c r="A53" s="65" t="s">
        <v>250</v>
      </c>
      <c r="B53" s="65"/>
      <c r="C53" s="65"/>
      <c r="D53" s="65"/>
      <c r="E53" s="65"/>
      <c r="F53" s="66"/>
      <c r="G53" s="71">
        <v>-156015</v>
      </c>
      <c r="H53" s="71">
        <v>-1650</v>
      </c>
      <c r="I53" s="71">
        <v>-3850</v>
      </c>
      <c r="J53" s="71">
        <v>-8450</v>
      </c>
      <c r="K53" s="72">
        <v>-169965</v>
      </c>
      <c r="L53" s="71">
        <v>0</v>
      </c>
      <c r="M53" s="71">
        <v>0</v>
      </c>
      <c r="N53" s="72">
        <v>0</v>
      </c>
    </row>
    <row r="54" spans="1:14">
      <c r="A54" s="65" t="s">
        <v>251</v>
      </c>
      <c r="B54" s="65"/>
      <c r="C54" s="65"/>
      <c r="D54" s="65"/>
      <c r="E54" s="65"/>
      <c r="F54" s="66"/>
      <c r="G54" s="71">
        <v>769954</v>
      </c>
      <c r="H54" s="71">
        <v>962413</v>
      </c>
      <c r="I54" s="71">
        <v>176250</v>
      </c>
      <c r="J54" s="71">
        <v>8450</v>
      </c>
      <c r="K54" s="72">
        <v>1917067</v>
      </c>
      <c r="L54" s="71">
        <v>0</v>
      </c>
      <c r="M54" s="71">
        <v>0</v>
      </c>
      <c r="N54" s="72">
        <v>0</v>
      </c>
    </row>
    <row r="55" spans="1:14">
      <c r="A55" s="65" t="s">
        <v>252</v>
      </c>
      <c r="B55" s="65"/>
      <c r="C55" s="65"/>
      <c r="D55" s="65"/>
      <c r="E55" s="65"/>
      <c r="F55" s="66"/>
      <c r="G55" s="71">
        <v>0</v>
      </c>
      <c r="H55" s="71">
        <v>-36190</v>
      </c>
      <c r="I55" s="71">
        <v>36190</v>
      </c>
      <c r="J55" s="71">
        <v>0</v>
      </c>
      <c r="K55" s="72">
        <v>0</v>
      </c>
      <c r="L55" s="71">
        <v>0</v>
      </c>
      <c r="M55" s="71">
        <v>0</v>
      </c>
      <c r="N55" s="72">
        <v>0</v>
      </c>
    </row>
    <row r="56" spans="1:14">
      <c r="A56" s="65"/>
      <c r="B56" s="65"/>
      <c r="C56" s="65"/>
      <c r="D56" s="65"/>
      <c r="E56" s="65"/>
      <c r="F56" s="65" t="s">
        <v>253</v>
      </c>
      <c r="G56" s="74">
        <v>485662</v>
      </c>
      <c r="H56" s="74">
        <v>768684</v>
      </c>
      <c r="I56" s="74">
        <v>43871</v>
      </c>
      <c r="J56" s="74">
        <v>-256529</v>
      </c>
      <c r="K56" s="75">
        <v>1041688</v>
      </c>
      <c r="L56" s="74">
        <v>-781874</v>
      </c>
      <c r="M56" s="74">
        <v>-218644</v>
      </c>
      <c r="N56" s="75">
        <v>-1000518</v>
      </c>
    </row>
    <row r="57" spans="1:14">
      <c r="A57" s="65"/>
      <c r="B57" s="65"/>
      <c r="C57" s="65"/>
      <c r="D57" s="65"/>
      <c r="E57" s="65"/>
      <c r="F57" s="66"/>
      <c r="G57" s="66"/>
      <c r="H57" s="66"/>
      <c r="I57" s="66"/>
      <c r="J57" s="66"/>
      <c r="K57" s="72"/>
      <c r="L57" s="66"/>
      <c r="M57" s="66"/>
      <c r="N57" s="72"/>
    </row>
    <row r="58" spans="1:14">
      <c r="A58" s="65" t="s">
        <v>254</v>
      </c>
      <c r="B58" s="65"/>
      <c r="C58" s="65"/>
      <c r="D58" s="65"/>
      <c r="E58" s="65"/>
      <c r="F58" s="66"/>
      <c r="G58" s="71">
        <v>-800000</v>
      </c>
      <c r="H58" s="71">
        <v>-1033450</v>
      </c>
      <c r="I58" s="71">
        <v>0</v>
      </c>
      <c r="J58" s="71">
        <v>0</v>
      </c>
      <c r="K58" s="72">
        <v>-1833450</v>
      </c>
      <c r="L58" s="71">
        <v>0</v>
      </c>
      <c r="M58" s="71">
        <v>0</v>
      </c>
      <c r="N58" s="72">
        <v>0</v>
      </c>
    </row>
    <row r="59" spans="1:14">
      <c r="A59" s="65" t="s">
        <v>255</v>
      </c>
      <c r="B59" s="65"/>
      <c r="C59" s="65"/>
      <c r="D59" s="65"/>
      <c r="E59" s="65"/>
      <c r="F59" s="66"/>
      <c r="G59" s="71">
        <v>351602</v>
      </c>
      <c r="H59" s="71">
        <v>169066</v>
      </c>
      <c r="I59" s="71">
        <v>70215</v>
      </c>
      <c r="J59" s="71">
        <v>76082</v>
      </c>
      <c r="K59" s="72">
        <v>666965</v>
      </c>
      <c r="L59" s="71">
        <v>49310</v>
      </c>
      <c r="M59" s="71">
        <v>59980</v>
      </c>
      <c r="N59" s="72">
        <v>109290</v>
      </c>
    </row>
    <row r="60" spans="1:14">
      <c r="A60" s="65" t="s">
        <v>256</v>
      </c>
      <c r="B60" s="65"/>
      <c r="C60" s="65"/>
      <c r="D60" s="65"/>
      <c r="E60" s="65"/>
      <c r="F60" s="66"/>
      <c r="G60" s="71">
        <v>-3536396</v>
      </c>
      <c r="H60" s="71">
        <v>-1654327</v>
      </c>
      <c r="I60" s="71">
        <v>-1856885</v>
      </c>
      <c r="J60" s="71">
        <v>-2079559</v>
      </c>
      <c r="K60" s="72">
        <v>-9127167</v>
      </c>
      <c r="L60" s="71">
        <v>-1270588</v>
      </c>
      <c r="M60" s="71">
        <v>-4714403</v>
      </c>
      <c r="N60" s="72">
        <v>-5984991</v>
      </c>
    </row>
    <row r="61" spans="1:14">
      <c r="A61" s="65" t="s">
        <v>257</v>
      </c>
      <c r="B61" s="65"/>
      <c r="C61" s="65"/>
      <c r="D61" s="65"/>
      <c r="E61" s="65"/>
      <c r="F61" s="66"/>
      <c r="G61" s="71">
        <v>-27870</v>
      </c>
      <c r="H61" s="71">
        <v>-6114</v>
      </c>
      <c r="I61" s="71">
        <v>-6196</v>
      </c>
      <c r="J61" s="71">
        <v>-5985</v>
      </c>
      <c r="K61" s="72">
        <v>-46165</v>
      </c>
      <c r="L61" s="71">
        <v>-29230</v>
      </c>
      <c r="M61" s="71">
        <v>-6631</v>
      </c>
      <c r="N61" s="72">
        <v>-35861</v>
      </c>
    </row>
    <row r="62" spans="1:14">
      <c r="A62" s="65" t="s">
        <v>258</v>
      </c>
      <c r="B62" s="65"/>
      <c r="C62" s="65"/>
      <c r="D62" s="65"/>
      <c r="E62" s="65"/>
      <c r="F62" s="66"/>
      <c r="G62" s="71">
        <v>-15652</v>
      </c>
      <c r="H62" s="71">
        <v>21957</v>
      </c>
      <c r="I62" s="71">
        <v>55837</v>
      </c>
      <c r="J62" s="71">
        <v>-67948</v>
      </c>
      <c r="K62" s="72">
        <v>-5806</v>
      </c>
      <c r="L62" s="71">
        <v>19694</v>
      </c>
      <c r="M62" s="71">
        <v>-8573</v>
      </c>
      <c r="N62" s="72">
        <v>11121</v>
      </c>
    </row>
    <row r="63" spans="1:14">
      <c r="A63" s="65"/>
      <c r="B63" s="65"/>
      <c r="C63" s="65"/>
      <c r="D63" s="65"/>
      <c r="E63" s="65"/>
      <c r="F63" s="65" t="s">
        <v>259</v>
      </c>
      <c r="G63" s="74">
        <v>-4028316</v>
      </c>
      <c r="H63" s="74">
        <v>-2502868</v>
      </c>
      <c r="I63" s="74">
        <v>-1737029</v>
      </c>
      <c r="J63" s="74">
        <v>-2077410</v>
      </c>
      <c r="K63" s="75">
        <v>-10345623</v>
      </c>
      <c r="L63" s="74">
        <v>-1230814</v>
      </c>
      <c r="M63" s="74">
        <v>-4669627</v>
      </c>
      <c r="N63" s="75">
        <v>-5900441</v>
      </c>
    </row>
    <row r="64" spans="1:14">
      <c r="A64" s="65"/>
      <c r="B64" s="65"/>
      <c r="C64" s="65"/>
      <c r="D64" s="65"/>
      <c r="E64" s="65"/>
      <c r="F64" s="65"/>
      <c r="G64" s="76"/>
      <c r="H64" s="76"/>
      <c r="I64" s="76"/>
      <c r="J64" s="76"/>
      <c r="K64" s="72"/>
      <c r="L64" s="76"/>
      <c r="M64" s="76"/>
      <c r="N64" s="72"/>
    </row>
    <row r="65" spans="1:14">
      <c r="A65" s="65"/>
      <c r="B65" s="65"/>
      <c r="C65" s="65"/>
      <c r="D65" s="65"/>
      <c r="E65" s="65"/>
      <c r="F65" s="65"/>
      <c r="G65" s="76">
        <v>150146</v>
      </c>
      <c r="H65" s="76">
        <v>287471</v>
      </c>
      <c r="I65" s="76">
        <v>-21721</v>
      </c>
      <c r="J65" s="76">
        <v>-29377</v>
      </c>
      <c r="K65" s="72">
        <v>386519</v>
      </c>
      <c r="L65" s="76">
        <v>-49838</v>
      </c>
      <c r="M65" s="76">
        <v>-19628</v>
      </c>
      <c r="N65" s="72">
        <v>-69466</v>
      </c>
    </row>
    <row r="66" spans="1:14">
      <c r="A66" s="65"/>
      <c r="B66" s="65"/>
      <c r="C66" s="65"/>
      <c r="D66" s="65"/>
      <c r="E66" s="65"/>
      <c r="F66" s="66"/>
      <c r="G66" s="76">
        <v>-603309</v>
      </c>
      <c r="H66" s="76">
        <v>976545</v>
      </c>
      <c r="I66" s="76">
        <v>1110295</v>
      </c>
      <c r="J66" s="76">
        <v>-251674</v>
      </c>
      <c r="K66" s="72">
        <v>1231857</v>
      </c>
      <c r="L66" s="76">
        <v>3227679</v>
      </c>
      <c r="M66" s="76">
        <v>-3164087</v>
      </c>
      <c r="N66" s="72">
        <v>63592</v>
      </c>
    </row>
    <row r="67" spans="1:14">
      <c r="A67" s="65"/>
      <c r="B67" s="65"/>
      <c r="C67" s="65"/>
      <c r="D67" s="65"/>
      <c r="E67" s="65"/>
      <c r="F67" s="66"/>
      <c r="G67" s="76">
        <v>7807337</v>
      </c>
      <c r="H67" s="76">
        <v>7204028</v>
      </c>
      <c r="I67" s="76">
        <v>8180573</v>
      </c>
      <c r="J67" s="76">
        <v>9290868</v>
      </c>
      <c r="K67" s="72">
        <v>7807337</v>
      </c>
      <c r="L67" s="76">
        <v>9039194</v>
      </c>
      <c r="M67" s="76">
        <v>12266873</v>
      </c>
      <c r="N67" s="72">
        <v>9039194</v>
      </c>
    </row>
    <row r="68" spans="1:14" ht="17" thickBot="1">
      <c r="A68" s="65"/>
      <c r="B68" s="65"/>
      <c r="C68" s="65"/>
      <c r="D68" s="65"/>
      <c r="E68" s="65"/>
      <c r="F68" s="66"/>
      <c r="G68" s="77">
        <v>7204028</v>
      </c>
      <c r="H68" s="77">
        <v>8180573</v>
      </c>
      <c r="I68" s="77">
        <v>9290868</v>
      </c>
      <c r="J68" s="77">
        <v>9039194</v>
      </c>
      <c r="K68" s="78">
        <v>9039194</v>
      </c>
      <c r="L68" s="77">
        <v>12266873</v>
      </c>
      <c r="M68" s="77">
        <v>9102786</v>
      </c>
      <c r="N68" s="78">
        <v>9102786</v>
      </c>
    </row>
    <row r="69" spans="1:14">
      <c r="A69" s="65"/>
      <c r="B69" s="65"/>
      <c r="C69" s="65"/>
      <c r="D69" s="65"/>
      <c r="E69" s="65"/>
      <c r="F69" s="66"/>
      <c r="G69" s="66"/>
      <c r="H69" s="66"/>
      <c r="I69" s="66"/>
      <c r="J69" s="66"/>
      <c r="K69" s="72"/>
      <c r="L69" s="66"/>
      <c r="M69" s="66"/>
      <c r="N69" s="72"/>
    </row>
    <row r="70" spans="1:14">
      <c r="A70" s="79"/>
      <c r="B70" s="79"/>
      <c r="C70" s="65"/>
      <c r="D70" s="65"/>
      <c r="E70" s="65"/>
      <c r="F70" s="66"/>
      <c r="G70" s="66"/>
      <c r="H70" s="66"/>
      <c r="I70" s="66"/>
      <c r="J70" s="66"/>
      <c r="K70" s="80"/>
      <c r="L70" s="66"/>
      <c r="M70" s="66"/>
      <c r="N70" s="80"/>
    </row>
    <row r="71" spans="1:14">
      <c r="A71" s="65" t="s">
        <v>247</v>
      </c>
      <c r="B71" s="79"/>
      <c r="C71" s="65"/>
      <c r="D71" s="65"/>
      <c r="E71" s="65"/>
      <c r="F71" s="66"/>
      <c r="G71" s="69">
        <v>2789199</v>
      </c>
      <c r="H71" s="69">
        <v>2423258</v>
      </c>
      <c r="I71" s="69">
        <v>2825174</v>
      </c>
      <c r="J71" s="69">
        <v>2111642</v>
      </c>
      <c r="K71" s="70">
        <v>10149273</v>
      </c>
      <c r="L71" s="69">
        <v>5290205</v>
      </c>
      <c r="M71" s="69">
        <v>1743812</v>
      </c>
      <c r="N71" s="70">
        <v>7034017</v>
      </c>
    </row>
    <row r="72" spans="1:14">
      <c r="A72" s="65" t="s">
        <v>248</v>
      </c>
      <c r="B72" s="65"/>
      <c r="C72" s="65"/>
      <c r="D72" s="65"/>
      <c r="E72" s="65"/>
      <c r="F72" s="66"/>
      <c r="G72" s="71">
        <v>-128277</v>
      </c>
      <c r="H72" s="71">
        <v>-155889</v>
      </c>
      <c r="I72" s="71">
        <v>-164719</v>
      </c>
      <c r="J72" s="71">
        <v>-239335</v>
      </c>
      <c r="K72" s="72">
        <v>-688220</v>
      </c>
      <c r="L72" s="71">
        <v>-196130</v>
      </c>
      <c r="M72" s="71">
        <v>-218644</v>
      </c>
      <c r="N72" s="72">
        <v>-414774</v>
      </c>
    </row>
    <row r="73" spans="1:14" ht="17" thickBot="1">
      <c r="A73" s="81" t="s">
        <v>260</v>
      </c>
      <c r="B73" s="64"/>
      <c r="C73" s="64"/>
      <c r="D73" s="64"/>
      <c r="E73" s="64"/>
      <c r="F73" s="66"/>
      <c r="G73" s="82">
        <v>2660922</v>
      </c>
      <c r="H73" s="82">
        <v>2267369</v>
      </c>
      <c r="I73" s="82">
        <v>2660455</v>
      </c>
      <c r="J73" s="82">
        <v>1872307</v>
      </c>
      <c r="K73" s="83">
        <v>9461053</v>
      </c>
      <c r="L73" s="82">
        <v>5094075</v>
      </c>
      <c r="M73" s="82">
        <v>1525168</v>
      </c>
      <c r="N73" s="83">
        <v>6619243</v>
      </c>
    </row>
    <row r="74" spans="1:1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</row>
  </sheetData>
  <mergeCells count="2">
    <mergeCell ref="E5:H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DCF </vt:lpstr>
      <vt:lpstr>WACC</vt:lpstr>
      <vt:lpstr>IS</vt:lpstr>
      <vt:lpstr>BS</vt:lpstr>
      <vt:lpstr>CF</vt:lpstr>
      <vt:lpstr>Q2</vt:lpstr>
      <vt:lpstr>B_eq</vt:lpstr>
      <vt:lpstr>D</vt:lpstr>
      <vt:lpstr>debt_ratio</vt:lpstr>
      <vt:lpstr>E</vt:lpstr>
      <vt:lpstr>equity_ratio</vt:lpstr>
      <vt:lpstr>leverage</vt:lpstr>
      <vt:lpstr>MRP</vt:lpstr>
      <vt:lpstr>Rd</vt:lpstr>
      <vt:lpstr>Re</vt:lpstr>
      <vt:lpstr>Rf</vt:lpstr>
      <vt:lpstr>scenario</vt:lpstr>
      <vt:lpstr>tax_shield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COPALU, ELLIOT (UG)</dc:creator>
  <cp:lastModifiedBy>COPALU, ELLIOT (UG)</cp:lastModifiedBy>
  <dcterms:created xsi:type="dcterms:W3CDTF">2026-08-05T20:39:04Z</dcterms:created>
  <dcterms:modified xsi:type="dcterms:W3CDTF">2026-08-22T23:34:42Z</dcterms:modified>
</cp:coreProperties>
</file>