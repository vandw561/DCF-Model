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iot/Documents/"/>
    </mc:Choice>
  </mc:AlternateContent>
  <xr:revisionPtr revIDLastSave="0" documentId="13_ncr:1_{C57F9AA3-DC5D-124C-8729-63741D356ACB}" xr6:coauthVersionLast="47" xr6:coauthVersionMax="47" xr10:uidLastSave="{00000000-0000-0000-0000-000000000000}"/>
  <bookViews>
    <workbookView xWindow="0" yWindow="600" windowWidth="38400" windowHeight="21000" xr2:uid="{C23A68F4-D0B8-D04A-B3F0-16983902EBAE}"/>
  </bookViews>
  <sheets>
    <sheet name="DCF" sheetId="1" r:id="rId1"/>
    <sheet name="WACC" sheetId="2" r:id="rId2"/>
  </sheets>
  <definedNames>
    <definedName name="beta">WACC!$E$7</definedName>
    <definedName name="D">WACC!$E$12</definedName>
    <definedName name="E">WACC!$E$11</definedName>
    <definedName name="MRP">WACC!$E$9</definedName>
    <definedName name="Rf">WACC!$E$8</definedName>
    <definedName name="sceanrio">DCF!$C$17</definedName>
    <definedName name="scenario">DCF!$C$17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7" i="2" l="1"/>
  <c r="D32" i="2"/>
  <c r="H26" i="2"/>
  <c r="F26" i="2"/>
  <c r="F25" i="2"/>
  <c r="H25" i="2"/>
  <c r="H29" i="2"/>
  <c r="H28" i="2"/>
  <c r="H27" i="2"/>
  <c r="D31" i="2" l="1"/>
  <c r="E7" i="2" s="1"/>
  <c r="N22" i="1"/>
  <c r="V22" i="1"/>
  <c r="L75" i="1"/>
  <c r="M75" i="1"/>
  <c r="N75" i="1"/>
  <c r="O75" i="1"/>
  <c r="K44" i="1"/>
  <c r="J44" i="1"/>
  <c r="J45" i="1" s="1"/>
  <c r="J74" i="1"/>
  <c r="J75" i="1" s="1"/>
  <c r="I74" i="1"/>
  <c r="I75" i="1" s="1"/>
  <c r="H74" i="1"/>
  <c r="H75" i="1" s="1"/>
  <c r="G74" i="1"/>
  <c r="G75" i="1" s="1"/>
  <c r="F74" i="1"/>
  <c r="F75" i="1" s="1"/>
  <c r="O89" i="1"/>
  <c r="O88" i="1"/>
  <c r="C20" i="1"/>
  <c r="E16" i="2"/>
  <c r="E6" i="2"/>
  <c r="E14" i="2"/>
  <c r="E13" i="2"/>
  <c r="G72" i="1"/>
  <c r="H72" i="1"/>
  <c r="I72" i="1"/>
  <c r="J72" i="1"/>
  <c r="F72" i="1"/>
  <c r="G68" i="1"/>
  <c r="H68" i="1"/>
  <c r="I68" i="1"/>
  <c r="J68" i="1"/>
  <c r="F68" i="1"/>
  <c r="J69" i="1"/>
  <c r="I69" i="1"/>
  <c r="H69" i="1"/>
  <c r="G69" i="1"/>
  <c r="F69" i="1"/>
  <c r="L58" i="1"/>
  <c r="M58" i="1"/>
  <c r="N58" i="1"/>
  <c r="O58" i="1"/>
  <c r="O59" i="1" s="1"/>
  <c r="L27" i="1"/>
  <c r="M27" i="1" s="1"/>
  <c r="M52" i="1" s="1"/>
  <c r="O52" i="1"/>
  <c r="O51" i="1" s="1"/>
  <c r="K52" i="1"/>
  <c r="O53" i="1" s="1"/>
  <c r="J62" i="1"/>
  <c r="I62" i="1"/>
  <c r="H62" i="1"/>
  <c r="G62" i="1"/>
  <c r="F62" i="1"/>
  <c r="G56" i="1"/>
  <c r="H56" i="1"/>
  <c r="I56" i="1"/>
  <c r="J56" i="1"/>
  <c r="F56" i="1"/>
  <c r="J50" i="1"/>
  <c r="I50" i="1"/>
  <c r="H50" i="1"/>
  <c r="G50" i="1"/>
  <c r="G39" i="1"/>
  <c r="H39" i="1"/>
  <c r="I39" i="1"/>
  <c r="J39" i="1"/>
  <c r="F39" i="1"/>
  <c r="K26" i="1"/>
  <c r="F44" i="1"/>
  <c r="F45" i="1" s="1"/>
  <c r="G44" i="1"/>
  <c r="G45" i="1" s="1"/>
  <c r="I44" i="1"/>
  <c r="I45" i="1" s="1"/>
  <c r="H44" i="1"/>
  <c r="H45" i="1" s="1"/>
  <c r="G42" i="1"/>
  <c r="H42" i="1"/>
  <c r="I42" i="1"/>
  <c r="J42" i="1"/>
  <c r="F42" i="1"/>
  <c r="G38" i="1"/>
  <c r="H38" i="1"/>
  <c r="I38" i="1"/>
  <c r="J38" i="1"/>
  <c r="F38" i="1"/>
  <c r="G33" i="1"/>
  <c r="H33" i="1"/>
  <c r="I33" i="1"/>
  <c r="J33" i="1"/>
  <c r="F33" i="1"/>
  <c r="G30" i="1"/>
  <c r="H30" i="1"/>
  <c r="I30" i="1"/>
  <c r="J30" i="1"/>
  <c r="F30" i="1"/>
  <c r="H27" i="1"/>
  <c r="I27" i="1"/>
  <c r="J27" i="1"/>
  <c r="G27" i="1"/>
  <c r="C7" i="1"/>
  <c r="K79" i="1" s="1"/>
  <c r="K80" i="1" l="1"/>
  <c r="L80" i="1" s="1"/>
  <c r="K68" i="1"/>
  <c r="L68" i="1" s="1"/>
  <c r="M68" i="1" s="1"/>
  <c r="K45" i="1"/>
  <c r="K75" i="1" s="1"/>
  <c r="K72" i="1"/>
  <c r="L72" i="1" s="1"/>
  <c r="M72" i="1" s="1"/>
  <c r="K38" i="1"/>
  <c r="K37" i="1" s="1"/>
  <c r="O50" i="1"/>
  <c r="K50" i="1"/>
  <c r="K49" i="1" s="1"/>
  <c r="K51" i="1"/>
  <c r="L51" i="1" s="1"/>
  <c r="M51" i="1" s="1"/>
  <c r="K74" i="1"/>
  <c r="O57" i="1"/>
  <c r="O56" i="1" s="1"/>
  <c r="K53" i="1"/>
  <c r="L53" i="1" s="1"/>
  <c r="M53" i="1" s="1"/>
  <c r="N53" i="1" s="1"/>
  <c r="L52" i="1"/>
  <c r="K42" i="1"/>
  <c r="K41" i="1" s="1"/>
  <c r="N27" i="1"/>
  <c r="N52" i="1" s="1"/>
  <c r="K30" i="1"/>
  <c r="K58" i="1" s="1"/>
  <c r="L26" i="1"/>
  <c r="L44" i="1" s="1"/>
  <c r="L74" i="1" s="1"/>
  <c r="K71" i="1" l="1"/>
  <c r="M80" i="1"/>
  <c r="N68" i="1"/>
  <c r="O68" i="1" s="1"/>
  <c r="L38" i="1"/>
  <c r="M38" i="1" s="1"/>
  <c r="K67" i="1"/>
  <c r="N72" i="1"/>
  <c r="O72" i="1" s="1"/>
  <c r="L42" i="1"/>
  <c r="M42" i="1" s="1"/>
  <c r="N42" i="1" s="1"/>
  <c r="O42" i="1" s="1"/>
  <c r="L50" i="1"/>
  <c r="L49" i="1" s="1"/>
  <c r="L67" i="1" s="1"/>
  <c r="N51" i="1"/>
  <c r="N50" i="1" s="1"/>
  <c r="M50" i="1"/>
  <c r="K32" i="1"/>
  <c r="E19" i="2"/>
  <c r="Q21" i="1" s="1"/>
  <c r="K59" i="1"/>
  <c r="L59" i="1" s="1"/>
  <c r="M59" i="1" s="1"/>
  <c r="N59" i="1" s="1"/>
  <c r="K57" i="1"/>
  <c r="L29" i="1"/>
  <c r="L32" i="1" s="1"/>
  <c r="L41" i="1"/>
  <c r="K39" i="1"/>
  <c r="M26" i="1"/>
  <c r="M44" i="1" s="1"/>
  <c r="M74" i="1" s="1"/>
  <c r="N38" i="1" l="1"/>
  <c r="O38" i="1" s="1"/>
  <c r="L37" i="1"/>
  <c r="N80" i="1"/>
  <c r="M49" i="1"/>
  <c r="N49" i="1" s="1"/>
  <c r="L71" i="1"/>
  <c r="L57" i="1"/>
  <c r="K56" i="1"/>
  <c r="K55" i="1" s="1"/>
  <c r="V21" i="1"/>
  <c r="N21" i="1"/>
  <c r="M41" i="1"/>
  <c r="M29" i="1"/>
  <c r="M32" i="1" s="1"/>
  <c r="M37" i="1"/>
  <c r="N26" i="1"/>
  <c r="N44" i="1" s="1"/>
  <c r="N74" i="1" s="1"/>
  <c r="L39" i="1"/>
  <c r="C19" i="1" l="1"/>
  <c r="O80" i="1"/>
  <c r="M39" i="1"/>
  <c r="M71" i="1"/>
  <c r="M67" i="1"/>
  <c r="K61" i="1"/>
  <c r="K64" i="1" s="1"/>
  <c r="K77" i="1" s="1"/>
  <c r="L56" i="1"/>
  <c r="L55" i="1" s="1"/>
  <c r="M57" i="1"/>
  <c r="O49" i="1"/>
  <c r="O55" i="1" s="1"/>
  <c r="N71" i="1"/>
  <c r="N67" i="1"/>
  <c r="O26" i="1"/>
  <c r="O44" i="1" s="1"/>
  <c r="O74" i="1" s="1"/>
  <c r="N37" i="1"/>
  <c r="N41" i="1"/>
  <c r="N29" i="1"/>
  <c r="N32" i="1" s="1"/>
  <c r="K82" i="1" l="1"/>
  <c r="L61" i="1"/>
  <c r="L64" i="1" s="1"/>
  <c r="L77" i="1" s="1"/>
  <c r="L82" i="1" s="1"/>
  <c r="N57" i="1"/>
  <c r="N56" i="1" s="1"/>
  <c r="N55" i="1" s="1"/>
  <c r="M56" i="1"/>
  <c r="M55" i="1" s="1"/>
  <c r="K65" i="1"/>
  <c r="O71" i="1"/>
  <c r="O67" i="1"/>
  <c r="N39" i="1"/>
  <c r="O41" i="1"/>
  <c r="O29" i="1"/>
  <c r="O32" i="1" s="1"/>
  <c r="O37" i="1"/>
  <c r="O39" i="1" l="1"/>
  <c r="L65" i="1"/>
  <c r="M61" i="1"/>
  <c r="M64" i="1" s="1"/>
  <c r="M77" i="1" s="1"/>
  <c r="M82" i="1" s="1"/>
  <c r="M65" i="1" l="1"/>
  <c r="N61" i="1"/>
  <c r="O61" i="1"/>
  <c r="O64" i="1" s="1"/>
  <c r="O77" i="1" s="1"/>
  <c r="O82" i="1" s="1"/>
  <c r="N64" i="1"/>
  <c r="N77" i="1" s="1"/>
  <c r="N82" i="1" s="1"/>
  <c r="O84" i="1" l="1"/>
  <c r="O85" i="1" s="1"/>
  <c r="N65" i="1"/>
  <c r="O65" i="1"/>
  <c r="K69" i="1" l="1"/>
  <c r="L69" i="1"/>
  <c r="M69" i="1"/>
  <c r="O69" i="1"/>
  <c r="N69" i="1"/>
  <c r="O87" i="1" l="1"/>
  <c r="O90" i="1" s="1"/>
  <c r="O93" i="1" s="1"/>
  <c r="C10" i="1" s="1"/>
  <c r="C1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H24" authorId="0" shapeId="0" xr:uid="{DD8ABB16-9BFD-9847-8E89-A5D99D12F71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=levB / (1+(1-taxR) * (D/E)</t>
        </r>
      </text>
    </comment>
  </commentList>
</comments>
</file>

<file path=xl/sharedStrings.xml><?xml version="1.0" encoding="utf-8"?>
<sst xmlns="http://schemas.openxmlformats.org/spreadsheetml/2006/main" count="111" uniqueCount="80">
  <si>
    <t>UBER DCF MODEL</t>
  </si>
  <si>
    <t>X</t>
  </si>
  <si>
    <t>General</t>
  </si>
  <si>
    <t>Assumptions</t>
  </si>
  <si>
    <t>Financials</t>
  </si>
  <si>
    <t>Revenue</t>
  </si>
  <si>
    <t>% growth</t>
  </si>
  <si>
    <t xml:space="preserve">% sales </t>
  </si>
  <si>
    <t>EBIT</t>
  </si>
  <si>
    <t>Taxes</t>
  </si>
  <si>
    <t>% tax rate</t>
  </si>
  <si>
    <t>Company Ticker</t>
  </si>
  <si>
    <t>Date</t>
  </si>
  <si>
    <t>End of fiscal year</t>
  </si>
  <si>
    <t>Share Price</t>
  </si>
  <si>
    <t>Intrinsic Value</t>
  </si>
  <si>
    <t>Delta</t>
  </si>
  <si>
    <t>UBER</t>
  </si>
  <si>
    <t>Cash Flow Items</t>
  </si>
  <si>
    <t>D&amp;A</t>
  </si>
  <si>
    <t>% revenue</t>
  </si>
  <si>
    <t>% CapEx</t>
  </si>
  <si>
    <t>CapEx</t>
  </si>
  <si>
    <t>Change In WC</t>
  </si>
  <si>
    <t>DCF Model</t>
  </si>
  <si>
    <t>EBIAT (or NOPAT)</t>
  </si>
  <si>
    <t xml:space="preserve">Rev g FY2026 </t>
  </si>
  <si>
    <t xml:space="preserve">Rev g FY2030 </t>
  </si>
  <si>
    <t>1 - Bearish Case</t>
  </si>
  <si>
    <t>2 - Street Case</t>
  </si>
  <si>
    <t>3 - Bullish Case</t>
  </si>
  <si>
    <t>Triggers</t>
  </si>
  <si>
    <t>Scenario</t>
  </si>
  <si>
    <t xml:space="preserve">     Bearish Case</t>
  </si>
  <si>
    <t xml:space="preserve">     Street Case</t>
  </si>
  <si>
    <t xml:space="preserve">     Bullish Case</t>
  </si>
  <si>
    <t>EBIT g FY2026</t>
  </si>
  <si>
    <t>EBIT g FY2030</t>
  </si>
  <si>
    <t>Plus: D&amp;A</t>
  </si>
  <si>
    <t>Minus: CapEx</t>
  </si>
  <si>
    <t>Minus: Change In WC</t>
  </si>
  <si>
    <t>Unlevered Free Cash Flow</t>
  </si>
  <si>
    <t>Discount Period</t>
  </si>
  <si>
    <t>D</t>
  </si>
  <si>
    <t>Re</t>
  </si>
  <si>
    <t>Beta Equity</t>
  </si>
  <si>
    <t>Risk Free Rate</t>
  </si>
  <si>
    <t>MRP</t>
  </si>
  <si>
    <t>WACC Calculation</t>
  </si>
  <si>
    <t>WACC = [Re*(E/E+D)] + [Rd*(1-t)*(D/D+E)]</t>
  </si>
  <si>
    <t>E</t>
  </si>
  <si>
    <t>E/E+D</t>
  </si>
  <si>
    <t>D/D+E</t>
  </si>
  <si>
    <t>Rd</t>
  </si>
  <si>
    <t>1-t</t>
  </si>
  <si>
    <t>WACC</t>
  </si>
  <si>
    <t>TGR</t>
  </si>
  <si>
    <t xml:space="preserve">Discounted UFCF </t>
  </si>
  <si>
    <t xml:space="preserve">Terminal Value </t>
  </si>
  <si>
    <t>Discounted TV</t>
  </si>
  <si>
    <t>Enterprise Value</t>
  </si>
  <si>
    <t>Plus: Cash</t>
  </si>
  <si>
    <t>Minus: Debt</t>
  </si>
  <si>
    <t xml:space="preserve">Equity Value </t>
  </si>
  <si>
    <t>Shares Outstanding</t>
  </si>
  <si>
    <t>Price Per Share</t>
  </si>
  <si>
    <t>Stub</t>
  </si>
  <si>
    <t>=levB / (1+(1-taxR) * (D/E)</t>
  </si>
  <si>
    <t>Beta</t>
  </si>
  <si>
    <t>Company Name</t>
  </si>
  <si>
    <t>Lev Beta</t>
  </si>
  <si>
    <t>Market Cap</t>
  </si>
  <si>
    <t>Net Debt</t>
  </si>
  <si>
    <t>Tax Rate</t>
  </si>
  <si>
    <t>UnLev Beta</t>
  </si>
  <si>
    <t>Industry Average Ulbeta</t>
  </si>
  <si>
    <t>unlevB * (1+(1-taxR) * (D/E))</t>
  </si>
  <si>
    <t>Lyft</t>
  </si>
  <si>
    <t>DoorDash</t>
  </si>
  <si>
    <t>UBER Lev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</si>
</sst>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General&quot;A&quot;"/>
    <numFmt numFmtId="165" formatCode="General&quot;F&quot;"/>
    <numFmt numFmtId="166" formatCode="#,##0;\(#,##0\);&quot;--&quot;"/>
    <numFmt numFmtId="167" formatCode="0.0%"/>
    <numFmt numFmtId="168" formatCode="_([$$-409]* #,##0.00_);_([$$-409]* \(#,##0.00\);_([$$-409]* &quot;-&quot;??_);_(@_)"/>
  </numFmts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sz val="12"/>
      <color theme="5" tint="-0.249977111117893"/>
      <name val="Aptos Narrow"/>
      <family val="2"/>
      <scheme val="minor"/>
    </font>
    <font>
      <sz val="12"/>
      <color rgb="FF00B050"/>
      <name val="Aptos Narrow"/>
      <family val="2"/>
      <scheme val="minor"/>
    </font>
    <font>
      <b/>
      <sz val="20"/>
      <color theme="1"/>
      <name val="Aptos Narrow (Body)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6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1" applyNumberFormat="0" applyFont="0" applyAlignment="0" applyProtection="0"/>
    <xf numFmtId="0" fontId="4" fillId="0" borderId="2" applyNumberFormat="0" applyFill="0" applyAlignment="0" applyProtection="0"/>
  </cellStyleXfs>
  <cellXfs count="71">
    <xf numFmtId="0" fontId="0" fillId="0" borderId="0" xfId="0"/>
    <xf numFmtId="0" fontId="6" fillId="0" borderId="0" xfId="0" applyFont="1"/>
    <xf numFmtId="0" fontId="5" fillId="4" borderId="0" xfId="0" applyFont="1" applyFill="1"/>
    <xf numFmtId="0" fontId="7" fillId="0" borderId="0" xfId="0" applyFont="1"/>
    <xf numFmtId="14" fontId="0" fillId="0" borderId="0" xfId="0" applyNumberFormat="1"/>
    <xf numFmtId="0" fontId="2" fillId="2" borderId="0" xfId="2"/>
    <xf numFmtId="0" fontId="0" fillId="0" borderId="3" xfId="0" applyBorder="1"/>
    <xf numFmtId="0" fontId="5" fillId="4" borderId="3" xfId="0" applyFont="1" applyFill="1" applyBorder="1"/>
    <xf numFmtId="164" fontId="0" fillId="0" borderId="0" xfId="0" applyNumberFormat="1"/>
    <xf numFmtId="165" fontId="0" fillId="0" borderId="0" xfId="0" applyNumberFormat="1"/>
    <xf numFmtId="164" fontId="0" fillId="0" borderId="3" xfId="0" applyNumberFormat="1" applyBorder="1"/>
    <xf numFmtId="166" fontId="0" fillId="0" borderId="0" xfId="0" applyNumberFormat="1"/>
    <xf numFmtId="166" fontId="0" fillId="0" borderId="3" xfId="0" applyNumberFormat="1" applyBorder="1"/>
    <xf numFmtId="9" fontId="0" fillId="0" borderId="0" xfId="1" applyFont="1"/>
    <xf numFmtId="9" fontId="0" fillId="0" borderId="3" xfId="1" applyFont="1" applyBorder="1"/>
    <xf numFmtId="9" fontId="0" fillId="0" borderId="0" xfId="0" applyNumberFormat="1"/>
    <xf numFmtId="9" fontId="0" fillId="0" borderId="0" xfId="1" applyFont="1" applyBorder="1"/>
    <xf numFmtId="9" fontId="0" fillId="0" borderId="0" xfId="1" applyFont="1" applyFill="1" applyBorder="1"/>
    <xf numFmtId="0" fontId="8" fillId="0" borderId="0" xfId="0" applyFont="1"/>
    <xf numFmtId="0" fontId="0" fillId="0" borderId="4" xfId="0" applyBorder="1"/>
    <xf numFmtId="9" fontId="0" fillId="3" borderId="1" xfId="3" applyNumberFormat="1" applyFont="1"/>
    <xf numFmtId="10" fontId="0" fillId="3" borderId="1" xfId="3" applyNumberFormat="1" applyFont="1"/>
    <xf numFmtId="167" fontId="3" fillId="3" borderId="1" xfId="3" applyNumberFormat="1" applyFont="1"/>
    <xf numFmtId="167" fontId="9" fillId="3" borderId="1" xfId="3" applyNumberFormat="1" applyFont="1"/>
    <xf numFmtId="167" fontId="10" fillId="3" borderId="1" xfId="3" applyNumberFormat="1" applyFont="1"/>
    <xf numFmtId="167" fontId="0" fillId="0" borderId="0" xfId="1" applyNumberFormat="1" applyFont="1" applyFill="1" applyBorder="1"/>
    <xf numFmtId="166" fontId="0" fillId="3" borderId="1" xfId="3" applyNumberFormat="1" applyFont="1"/>
    <xf numFmtId="167" fontId="3" fillId="3" borderId="1" xfId="1" applyNumberFormat="1" applyFont="1" applyFill="1" applyBorder="1"/>
    <xf numFmtId="167" fontId="9" fillId="3" borderId="1" xfId="1" applyNumberFormat="1" applyFont="1" applyFill="1" applyBorder="1"/>
    <xf numFmtId="0" fontId="7" fillId="0" borderId="8" xfId="0" applyFont="1" applyBorder="1"/>
    <xf numFmtId="0" fontId="0" fillId="0" borderId="9" xfId="0" applyBorder="1"/>
    <xf numFmtId="0" fontId="0" fillId="0" borderId="10" xfId="0" applyBorder="1"/>
    <xf numFmtId="9" fontId="0" fillId="0" borderId="9" xfId="1" applyFont="1" applyBorder="1"/>
    <xf numFmtId="9" fontId="0" fillId="0" borderId="10" xfId="1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166" fontId="6" fillId="0" borderId="6" xfId="0" applyNumberFormat="1" applyFont="1" applyBorder="1"/>
    <xf numFmtId="166" fontId="6" fillId="0" borderId="7" xfId="0" applyNumberFormat="1" applyFont="1" applyBorder="1"/>
    <xf numFmtId="10" fontId="0" fillId="0" borderId="0" xfId="1" applyNumberFormat="1" applyFont="1"/>
    <xf numFmtId="0" fontId="0" fillId="5" borderId="12" xfId="0" applyFill="1" applyBorder="1"/>
    <xf numFmtId="166" fontId="0" fillId="5" borderId="12" xfId="0" applyNumberFormat="1" applyFill="1" applyBorder="1"/>
    <xf numFmtId="10" fontId="0" fillId="0" borderId="0" xfId="0" applyNumberFormat="1"/>
    <xf numFmtId="167" fontId="0" fillId="0" borderId="0" xfId="0" applyNumberFormat="1"/>
    <xf numFmtId="0" fontId="11" fillId="0" borderId="9" xfId="0" applyFont="1" applyBorder="1"/>
    <xf numFmtId="0" fontId="0" fillId="6" borderId="0" xfId="0" applyFill="1"/>
    <xf numFmtId="10" fontId="0" fillId="6" borderId="0" xfId="0" applyNumberFormat="1" applyFill="1"/>
    <xf numFmtId="167" fontId="0" fillId="0" borderId="4" xfId="1" applyNumberFormat="1" applyFont="1" applyBorder="1"/>
    <xf numFmtId="0" fontId="6" fillId="0" borderId="3" xfId="0" applyFont="1" applyBorder="1"/>
    <xf numFmtId="166" fontId="6" fillId="0" borderId="0" xfId="0" applyNumberFormat="1" applyFont="1"/>
    <xf numFmtId="166" fontId="0" fillId="0" borderId="9" xfId="0" applyNumberFormat="1" applyBorder="1"/>
    <xf numFmtId="0" fontId="4" fillId="5" borderId="2" xfId="4" applyFill="1"/>
    <xf numFmtId="0" fontId="6" fillId="5" borderId="11" xfId="0" applyFont="1" applyFill="1" applyBorder="1"/>
    <xf numFmtId="10" fontId="0" fillId="6" borderId="4" xfId="1" applyNumberFormat="1" applyFont="1" applyFill="1" applyBorder="1"/>
    <xf numFmtId="168" fontId="0" fillId="0" borderId="0" xfId="0" applyNumberFormat="1"/>
    <xf numFmtId="2" fontId="0" fillId="0" borderId="0" xfId="0" applyNumberFormat="1"/>
    <xf numFmtId="0" fontId="12" fillId="0" borderId="0" xfId="0" applyFont="1" applyAlignment="1">
      <alignment horizontal="left" vertical="center" readingOrder="1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0" borderId="13" xfId="0" applyBorder="1"/>
    <xf numFmtId="0" fontId="0" fillId="8" borderId="13" xfId="0" applyFill="1" applyBorder="1"/>
    <xf numFmtId="0" fontId="0" fillId="8" borderId="0" xfId="0" applyFill="1"/>
    <xf numFmtId="0" fontId="0" fillId="8" borderId="3" xfId="0" applyFill="1" applyBorder="1"/>
    <xf numFmtId="2" fontId="0" fillId="0" borderId="3" xfId="0" applyNumberFormat="1" applyBorder="1"/>
    <xf numFmtId="0" fontId="0" fillId="0" borderId="8" xfId="0" applyBorder="1"/>
    <xf numFmtId="10" fontId="0" fillId="0" borderId="9" xfId="0" applyNumberFormat="1" applyBorder="1"/>
    <xf numFmtId="2" fontId="0" fillId="0" borderId="10" xfId="0" applyNumberFormat="1" applyBorder="1"/>
    <xf numFmtId="2" fontId="0" fillId="3" borderId="1" xfId="3" applyNumberFormat="1" applyFont="1"/>
    <xf numFmtId="0" fontId="14" fillId="0" borderId="0" xfId="0" applyFont="1"/>
    <xf numFmtId="168" fontId="4" fillId="5" borderId="2" xfId="4" applyNumberFormat="1" applyFill="1"/>
  </cellXfs>
  <cellStyles count="5">
    <cellStyle name="Bad" xfId="2" builtinId="27"/>
    <cellStyle name="Normal" xfId="0" builtinId="0"/>
    <cellStyle name="Note" xfId="3" builtinId="10"/>
    <cellStyle name="Per cent" xfId="1" builtinId="5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3042-1351-0B40-B195-FBBDBE31523E}">
  <dimension ref="A1:V94"/>
  <sheetViews>
    <sheetView showGridLines="0" tabSelected="1" zoomScale="150" zoomScaleNormal="150" workbookViewId="0">
      <pane ySplit="1" topLeftCell="A71" activePane="bottomLeft" state="frozen"/>
      <selection pane="bottomLeft" activeCell="O93" sqref="O93"/>
    </sheetView>
  </sheetViews>
  <sheetFormatPr baseColWidth="10" defaultRowHeight="16" x14ac:dyDescent="0.2"/>
  <cols>
    <col min="1" max="1" width="2.83203125" customWidth="1"/>
    <col min="2" max="2" width="16.33203125" bestFit="1" customWidth="1"/>
    <col min="4" max="4" width="10.83203125" style="6"/>
    <col min="10" max="10" width="10.83203125" style="6"/>
    <col min="11" max="11" width="10.83203125" customWidth="1"/>
    <col min="14" max="14" width="10.6640625" customWidth="1"/>
    <col min="22" max="22" width="10.83203125" customWidth="1"/>
  </cols>
  <sheetData>
    <row r="1" spans="1:22" x14ac:dyDescent="0.2">
      <c r="F1" s="8">
        <v>2021</v>
      </c>
      <c r="G1" s="8">
        <v>2022</v>
      </c>
      <c r="H1" s="8">
        <v>2023</v>
      </c>
      <c r="I1" s="8">
        <v>2024</v>
      </c>
      <c r="J1" s="10">
        <v>2025</v>
      </c>
      <c r="K1" s="9">
        <v>2026</v>
      </c>
      <c r="L1" s="9">
        <v>2027</v>
      </c>
      <c r="M1" s="9">
        <v>2028</v>
      </c>
      <c r="N1" s="9">
        <v>2029</v>
      </c>
      <c r="O1" s="9">
        <v>2030</v>
      </c>
    </row>
    <row r="2" spans="1:22" ht="20" customHeight="1" x14ac:dyDescent="0.3">
      <c r="B2" s="69" t="s">
        <v>0</v>
      </c>
    </row>
    <row r="4" spans="1:22" s="2" customFormat="1" x14ac:dyDescent="0.2">
      <c r="A4" s="2" t="s">
        <v>1</v>
      </c>
      <c r="B4" s="2" t="s">
        <v>2</v>
      </c>
      <c r="D4" s="7"/>
      <c r="J4" s="7"/>
    </row>
    <row r="6" spans="1:22" x14ac:dyDescent="0.2">
      <c r="B6" t="s">
        <v>11</v>
      </c>
      <c r="C6" s="5" t="s">
        <v>17</v>
      </c>
    </row>
    <row r="7" spans="1:22" x14ac:dyDescent="0.2">
      <c r="B7" t="s">
        <v>12</v>
      </c>
      <c r="C7" s="4">
        <f ca="1">TODAY()</f>
        <v>46257</v>
      </c>
    </row>
    <row r="8" spans="1:22" x14ac:dyDescent="0.2">
      <c r="B8" t="s">
        <v>13</v>
      </c>
      <c r="C8" s="4">
        <v>46387</v>
      </c>
    </row>
    <row r="9" spans="1:22" x14ac:dyDescent="0.2">
      <c r="B9" t="s">
        <v>14</v>
      </c>
      <c r="C9" s="54">
        <v>78</v>
      </c>
    </row>
    <row r="10" spans="1:22" x14ac:dyDescent="0.2">
      <c r="B10" s="1" t="s">
        <v>15</v>
      </c>
      <c r="C10" s="54">
        <f ca="1">O93</f>
        <v>115.60893933164677</v>
      </c>
    </row>
    <row r="11" spans="1:22" x14ac:dyDescent="0.2">
      <c r="B11" t="s">
        <v>16</v>
      </c>
      <c r="C11" s="13">
        <f ca="1">C10/C9-1</f>
        <v>0.48216588886726619</v>
      </c>
    </row>
    <row r="13" spans="1:22" s="2" customFormat="1" x14ac:dyDescent="0.2">
      <c r="A13" s="2" t="s">
        <v>1</v>
      </c>
      <c r="B13" s="2" t="s">
        <v>3</v>
      </c>
      <c r="D13" s="7"/>
      <c r="J13" s="7"/>
    </row>
    <row r="15" spans="1:22" x14ac:dyDescent="0.2">
      <c r="B15" s="18" t="s">
        <v>31</v>
      </c>
      <c r="L15" s="1" t="s">
        <v>28</v>
      </c>
      <c r="P15" s="1" t="s">
        <v>29</v>
      </c>
      <c r="T15" s="1" t="s">
        <v>30</v>
      </c>
    </row>
    <row r="16" spans="1:22" x14ac:dyDescent="0.2">
      <c r="L16" t="s">
        <v>26</v>
      </c>
      <c r="N16" s="15">
        <v>0.8</v>
      </c>
      <c r="T16" t="s">
        <v>26</v>
      </c>
      <c r="V16" s="15">
        <v>1.25</v>
      </c>
    </row>
    <row r="17" spans="1:22" x14ac:dyDescent="0.2">
      <c r="B17" t="s">
        <v>32</v>
      </c>
      <c r="C17" s="19">
        <v>3</v>
      </c>
      <c r="L17" t="s">
        <v>27</v>
      </c>
      <c r="N17" s="15">
        <v>0.9</v>
      </c>
      <c r="T17" t="s">
        <v>27</v>
      </c>
      <c r="V17" s="15">
        <v>1.4</v>
      </c>
    </row>
    <row r="18" spans="1:22" x14ac:dyDescent="0.2">
      <c r="L18" t="s">
        <v>36</v>
      </c>
      <c r="N18" s="15">
        <v>0.8</v>
      </c>
      <c r="T18" t="s">
        <v>36</v>
      </c>
      <c r="V18" s="15">
        <v>1.25</v>
      </c>
    </row>
    <row r="19" spans="1:22" x14ac:dyDescent="0.2">
      <c r="B19" t="s">
        <v>55</v>
      </c>
      <c r="C19" s="53">
        <f>CHOOSE(sceanrio,N21,Q21,V21)</f>
        <v>0.13654903058110743</v>
      </c>
      <c r="L19" t="s">
        <v>37</v>
      </c>
      <c r="N19" s="15">
        <v>0.9</v>
      </c>
      <c r="T19" t="s">
        <v>37</v>
      </c>
      <c r="V19" s="15">
        <v>1.4</v>
      </c>
    </row>
    <row r="20" spans="1:22" x14ac:dyDescent="0.2">
      <c r="B20" t="s">
        <v>56</v>
      </c>
      <c r="C20" s="47">
        <f>CHOOSE(sceanrio,N22,Q22,V22)</f>
        <v>3.0000000000000002E-2</v>
      </c>
    </row>
    <row r="21" spans="1:22" x14ac:dyDescent="0.2">
      <c r="L21" s="45" t="s">
        <v>55</v>
      </c>
      <c r="M21" s="45"/>
      <c r="N21" s="46">
        <f>Q21+0.5%</f>
        <v>0.13654903058110743</v>
      </c>
      <c r="O21" s="45"/>
      <c r="P21" s="45" t="s">
        <v>55</v>
      </c>
      <c r="Q21" s="46">
        <f>WACC!E19</f>
        <v>0.13154903058110742</v>
      </c>
      <c r="R21" s="45"/>
      <c r="S21" s="45"/>
      <c r="T21" s="45" t="s">
        <v>55</v>
      </c>
      <c r="U21" s="45"/>
      <c r="V21" s="46">
        <f>Q21+0.5%</f>
        <v>0.13654903058110743</v>
      </c>
    </row>
    <row r="22" spans="1:22" x14ac:dyDescent="0.2">
      <c r="L22" t="s">
        <v>56</v>
      </c>
      <c r="N22" s="43">
        <f>Q22-0.5%</f>
        <v>0.02</v>
      </c>
      <c r="P22" t="s">
        <v>56</v>
      </c>
      <c r="Q22" s="43">
        <v>2.5000000000000001E-2</v>
      </c>
      <c r="T22" t="s">
        <v>56</v>
      </c>
      <c r="V22" s="42">
        <f>Q22+0.5%</f>
        <v>3.0000000000000002E-2</v>
      </c>
    </row>
    <row r="24" spans="1:22" s="2" customFormat="1" x14ac:dyDescent="0.2">
      <c r="A24" s="2" t="s">
        <v>1</v>
      </c>
      <c r="B24" s="2" t="s">
        <v>4</v>
      </c>
      <c r="D24" s="7"/>
      <c r="J24" s="7"/>
    </row>
    <row r="26" spans="1:22" x14ac:dyDescent="0.2">
      <c r="B26" t="s">
        <v>5</v>
      </c>
      <c r="E26" s="11"/>
      <c r="F26" s="11">
        <v>17455</v>
      </c>
      <c r="G26" s="11">
        <v>31877</v>
      </c>
      <c r="H26" s="11">
        <v>37281</v>
      </c>
      <c r="I26" s="11">
        <v>43978</v>
      </c>
      <c r="J26" s="12">
        <v>52017</v>
      </c>
      <c r="K26" s="11">
        <f>J26+(J26*K27)</f>
        <v>61380.06</v>
      </c>
      <c r="L26" s="11">
        <f t="shared" ref="L26:O26" si="0">K26+(K26*L27)</f>
        <v>71200.869600000005</v>
      </c>
      <c r="M26" s="11">
        <f t="shared" si="0"/>
        <v>81168.991344000009</v>
      </c>
      <c r="N26" s="11">
        <f t="shared" si="0"/>
        <v>90909.270305280006</v>
      </c>
      <c r="O26" s="11">
        <f t="shared" si="0"/>
        <v>100000.19733580801</v>
      </c>
    </row>
    <row r="27" spans="1:22" x14ac:dyDescent="0.2">
      <c r="B27" s="3" t="s">
        <v>6</v>
      </c>
      <c r="F27" s="13"/>
      <c r="G27" s="13">
        <f>G26/F26-1</f>
        <v>0.8262389000286452</v>
      </c>
      <c r="H27" s="13">
        <f t="shared" ref="H27:J27" si="1">H26/G26-1</f>
        <v>0.16952661793769797</v>
      </c>
      <c r="I27" s="13">
        <f t="shared" si="1"/>
        <v>0.17963573938467325</v>
      </c>
      <c r="J27" s="14">
        <f t="shared" si="1"/>
        <v>0.18279594342625849</v>
      </c>
      <c r="K27" s="16">
        <v>0.18</v>
      </c>
      <c r="L27" s="13">
        <f>$K$27+($O$27-$K$27)/($O$1-$K$1)</f>
        <v>0.16</v>
      </c>
      <c r="M27" s="13">
        <f>$L$27+($O$27-$K$27)/($O$1-$K$1)</f>
        <v>0.14000000000000001</v>
      </c>
      <c r="N27" s="13">
        <f>$M$27+($O$27-$K$27)/($O$1-$K$1)</f>
        <v>0.12000000000000002</v>
      </c>
      <c r="O27" s="15">
        <v>0.1</v>
      </c>
    </row>
    <row r="29" spans="1:22" x14ac:dyDescent="0.2">
      <c r="B29" t="s">
        <v>8</v>
      </c>
      <c r="F29" s="11">
        <v>-3834</v>
      </c>
      <c r="G29" s="11">
        <v>-1832</v>
      </c>
      <c r="H29" s="11">
        <v>1110</v>
      </c>
      <c r="I29" s="11">
        <v>2799</v>
      </c>
      <c r="J29" s="12">
        <v>5655</v>
      </c>
      <c r="K29" s="11">
        <v>8045</v>
      </c>
      <c r="L29" s="11">
        <f>L26*L30</f>
        <v>9968.1217440000019</v>
      </c>
      <c r="M29" s="11">
        <f t="shared" ref="M29:O29" si="2">M26*M30</f>
        <v>12175.348701600002</v>
      </c>
      <c r="N29" s="11">
        <f t="shared" si="2"/>
        <v>13636.390545792001</v>
      </c>
      <c r="O29" s="11">
        <f t="shared" si="2"/>
        <v>15000.029600371201</v>
      </c>
    </row>
    <row r="30" spans="1:22" x14ac:dyDescent="0.2">
      <c r="B30" s="3" t="s">
        <v>7</v>
      </c>
      <c r="F30" s="13">
        <f>F29/F26</f>
        <v>-0.2196505299341163</v>
      </c>
      <c r="G30" s="13">
        <f t="shared" ref="G30:J30" si="3">G29/G26</f>
        <v>-5.7470903786429085E-2</v>
      </c>
      <c r="H30" s="13">
        <f t="shared" si="3"/>
        <v>2.9773879456023174E-2</v>
      </c>
      <c r="I30" s="13">
        <f t="shared" si="3"/>
        <v>6.3645459093182949E-2</v>
      </c>
      <c r="J30" s="14">
        <f t="shared" si="3"/>
        <v>0.10871445873464444</v>
      </c>
      <c r="K30" s="17">
        <f>K29/K26</f>
        <v>0.13106862391467197</v>
      </c>
      <c r="L30" s="15">
        <v>0.14000000000000001</v>
      </c>
      <c r="M30" s="15">
        <v>0.15</v>
      </c>
      <c r="N30" s="15">
        <v>0.15</v>
      </c>
      <c r="O30" s="15">
        <v>0.15</v>
      </c>
    </row>
    <row r="32" spans="1:22" x14ac:dyDescent="0.2">
      <c r="B32" t="s">
        <v>9</v>
      </c>
      <c r="F32" s="11">
        <v>-492</v>
      </c>
      <c r="G32" s="11">
        <v>-181</v>
      </c>
      <c r="H32" s="11">
        <v>213</v>
      </c>
      <c r="I32" s="11">
        <v>-5758</v>
      </c>
      <c r="J32" s="12">
        <v>-4346</v>
      </c>
      <c r="K32" s="11">
        <f>K29*K33</f>
        <v>1689.45</v>
      </c>
      <c r="L32" s="11">
        <f t="shared" ref="L32:O32" si="4">L29*L33</f>
        <v>2093.3055662400002</v>
      </c>
      <c r="M32" s="11">
        <f t="shared" si="4"/>
        <v>2556.8232273360004</v>
      </c>
      <c r="N32" s="11">
        <f t="shared" si="4"/>
        <v>2863.64201461632</v>
      </c>
      <c r="O32" s="11">
        <f t="shared" si="4"/>
        <v>3150.0062160779521</v>
      </c>
    </row>
    <row r="33" spans="1:17" x14ac:dyDescent="0.2">
      <c r="B33" t="s">
        <v>10</v>
      </c>
      <c r="F33" s="13">
        <f>F32/F29</f>
        <v>0.12832550860719874</v>
      </c>
      <c r="G33" s="13">
        <f t="shared" ref="G33:J33" si="5">G32/G29</f>
        <v>9.879912663755458E-2</v>
      </c>
      <c r="H33" s="13">
        <f t="shared" si="5"/>
        <v>0.1918918918918919</v>
      </c>
      <c r="I33" s="13">
        <f t="shared" si="5"/>
        <v>-2.0571632725973563</v>
      </c>
      <c r="J33" s="14">
        <f t="shared" si="5"/>
        <v>-0.76852343059239614</v>
      </c>
      <c r="K33" s="15">
        <v>0.21</v>
      </c>
      <c r="L33" s="15">
        <v>0.21</v>
      </c>
      <c r="M33" s="15">
        <v>0.21</v>
      </c>
      <c r="N33" s="15">
        <v>0.21</v>
      </c>
      <c r="O33" s="15">
        <v>0.21</v>
      </c>
    </row>
    <row r="34" spans="1:17" x14ac:dyDescent="0.2">
      <c r="F34" s="13"/>
    </row>
    <row r="35" spans="1:17" s="2" customFormat="1" x14ac:dyDescent="0.2">
      <c r="A35" s="2" t="s">
        <v>1</v>
      </c>
      <c r="B35" s="2" t="s">
        <v>18</v>
      </c>
      <c r="D35" s="7"/>
      <c r="J35" s="7"/>
    </row>
    <row r="37" spans="1:17" x14ac:dyDescent="0.2">
      <c r="B37" t="s">
        <v>19</v>
      </c>
      <c r="F37" s="11">
        <v>902</v>
      </c>
      <c r="G37" s="11">
        <v>947</v>
      </c>
      <c r="H37" s="11">
        <v>823</v>
      </c>
      <c r="I37" s="11">
        <v>711</v>
      </c>
      <c r="J37" s="12">
        <v>719</v>
      </c>
      <c r="K37" s="11">
        <f>K26*K38</f>
        <v>920.38107030788103</v>
      </c>
      <c r="L37" s="11">
        <f t="shared" ref="L37:O37" si="6">L26*L38</f>
        <v>1025.9046207785711</v>
      </c>
      <c r="M37" s="11">
        <f t="shared" si="6"/>
        <v>1193.3215975313567</v>
      </c>
      <c r="N37" s="11">
        <f t="shared" si="6"/>
        <v>1323.1976045225995</v>
      </c>
      <c r="O37" s="11">
        <f t="shared" si="6"/>
        <v>1462.8447865667456</v>
      </c>
    </row>
    <row r="38" spans="1:17" x14ac:dyDescent="0.2">
      <c r="B38" s="3" t="s">
        <v>20</v>
      </c>
      <c r="F38" s="13">
        <f>F37/F26</f>
        <v>5.1675737610999715E-2</v>
      </c>
      <c r="G38" s="13">
        <f t="shared" ref="G38:J38" si="7">G37/G26</f>
        <v>2.9707939893967437E-2</v>
      </c>
      <c r="H38" s="13">
        <f t="shared" si="7"/>
        <v>2.2075588101177542E-2</v>
      </c>
      <c r="I38" s="13">
        <f t="shared" si="7"/>
        <v>1.6167174496339077E-2</v>
      </c>
      <c r="J38" s="14">
        <f t="shared" si="7"/>
        <v>1.382240421400696E-2</v>
      </c>
      <c r="K38" s="15">
        <f>AVERAGE(I38:J38)</f>
        <v>1.4994789355173017E-2</v>
      </c>
      <c r="L38" s="15">
        <f t="shared" ref="L38:O38" si="8">AVERAGE(J38:K38)</f>
        <v>1.4408596784589989E-2</v>
      </c>
      <c r="M38" s="15">
        <f t="shared" si="8"/>
        <v>1.4701693069881503E-2</v>
      </c>
      <c r="N38" s="15">
        <f t="shared" si="8"/>
        <v>1.4555144927235746E-2</v>
      </c>
      <c r="O38" s="15">
        <f t="shared" si="8"/>
        <v>1.4628418998558625E-2</v>
      </c>
    </row>
    <row r="39" spans="1:17" x14ac:dyDescent="0.2">
      <c r="B39" s="3" t="s">
        <v>21</v>
      </c>
      <c r="F39" s="13">
        <f>F37/F41</f>
        <v>3.0268456375838926</v>
      </c>
      <c r="G39" s="13">
        <f t="shared" ref="G39:O39" si="9">G37/G41</f>
        <v>3.7579365079365079</v>
      </c>
      <c r="H39" s="13">
        <f t="shared" si="9"/>
        <v>3.6905829596412558</v>
      </c>
      <c r="I39" s="13">
        <f t="shared" si="9"/>
        <v>2.9380165289256199</v>
      </c>
      <c r="J39" s="14">
        <f t="shared" si="9"/>
        <v>2.1398809523809526</v>
      </c>
      <c r="K39" s="13">
        <f t="shared" si="9"/>
        <v>1.7467635037741547</v>
      </c>
      <c r="L39" s="13">
        <f t="shared" si="9"/>
        <v>2.0922358522381579</v>
      </c>
      <c r="M39" s="13">
        <f t="shared" si="9"/>
        <v>2.1998772884940836</v>
      </c>
      <c r="N39" s="13">
        <f t="shared" si="9"/>
        <v>2.1331743160772576</v>
      </c>
      <c r="O39" s="13">
        <f t="shared" si="9"/>
        <v>2.0640242414699368</v>
      </c>
    </row>
    <row r="41" spans="1:17" x14ac:dyDescent="0.2">
      <c r="B41" t="s">
        <v>22</v>
      </c>
      <c r="F41">
        <v>298</v>
      </c>
      <c r="G41">
        <v>252</v>
      </c>
      <c r="H41">
        <v>223</v>
      </c>
      <c r="I41">
        <v>242</v>
      </c>
      <c r="J41" s="6">
        <v>336</v>
      </c>
      <c r="K41" s="11">
        <f>K26*K42</f>
        <v>526.90651500289209</v>
      </c>
      <c r="L41" s="11">
        <f t="shared" ref="L41:O41" si="10">L26*L42</f>
        <v>490.33889734807633</v>
      </c>
      <c r="M41" s="11">
        <f t="shared" si="10"/>
        <v>542.4491646751078</v>
      </c>
      <c r="N41" s="11">
        <f t="shared" si="10"/>
        <v>620.29511350758128</v>
      </c>
      <c r="O41" s="11">
        <f t="shared" si="10"/>
        <v>708.73430513827248</v>
      </c>
    </row>
    <row r="42" spans="1:17" x14ac:dyDescent="0.2">
      <c r="B42" s="3" t="s">
        <v>20</v>
      </c>
      <c r="F42" s="13">
        <f>F41/F26</f>
        <v>1.7072472071039818E-2</v>
      </c>
      <c r="G42" s="13">
        <f t="shared" ref="G42:J42" si="11">G41/G26</f>
        <v>7.9053863287009436E-3</v>
      </c>
      <c r="H42" s="13">
        <f t="shared" si="11"/>
        <v>5.9815992060298813E-3</v>
      </c>
      <c r="I42" s="13">
        <f t="shared" si="11"/>
        <v>5.5027513756878439E-3</v>
      </c>
      <c r="J42" s="14">
        <f t="shared" si="11"/>
        <v>6.459426725878078E-3</v>
      </c>
      <c r="K42" s="15">
        <f>AVERAGE(F42:J42)</f>
        <v>8.5843271414673128E-3</v>
      </c>
      <c r="L42" s="15">
        <f t="shared" ref="L42:O42" si="12">AVERAGE(G42:K42)</f>
        <v>6.8866981555528121E-3</v>
      </c>
      <c r="M42" s="15">
        <f t="shared" si="12"/>
        <v>6.6829605209231856E-3</v>
      </c>
      <c r="N42" s="15">
        <f t="shared" si="12"/>
        <v>6.8232327839018473E-3</v>
      </c>
      <c r="O42" s="15">
        <f t="shared" si="12"/>
        <v>7.0873290655446468E-3</v>
      </c>
    </row>
    <row r="44" spans="1:17" x14ac:dyDescent="0.2">
      <c r="B44" t="s">
        <v>23</v>
      </c>
      <c r="F44" s="11">
        <f>SUM(-597,-236,860,165,90,516,1068,-184)</f>
        <v>1682</v>
      </c>
      <c r="G44" s="11">
        <f>SUM(-542,-196,193,-133,736,492,-215)</f>
        <v>335</v>
      </c>
      <c r="H44" s="11">
        <f>SUM(-758,-1462,191,64,2230,80,-180)</f>
        <v>165</v>
      </c>
      <c r="I44" s="11">
        <f>SUM(-142,-694,196,86,2819,330,-221)</f>
        <v>2374</v>
      </c>
      <c r="J44" s="12">
        <f>(-466-1028+177+126+2660+967)</f>
        <v>2436</v>
      </c>
      <c r="K44">
        <f>(-499-375+100+345+830-94-97)*2</f>
        <v>420</v>
      </c>
      <c r="L44" s="11">
        <f>L26*L45</f>
        <v>712.0086960000001</v>
      </c>
      <c r="M44" s="11">
        <f t="shared" ref="M44:O44" si="13">M26*M45</f>
        <v>811.68991344000005</v>
      </c>
      <c r="N44" s="11">
        <f t="shared" si="13"/>
        <v>909.09270305280006</v>
      </c>
      <c r="O44" s="11">
        <f t="shared" si="13"/>
        <v>1000.0019733580801</v>
      </c>
      <c r="Q44" s="15"/>
    </row>
    <row r="45" spans="1:17" x14ac:dyDescent="0.2">
      <c r="B45" s="3" t="s">
        <v>20</v>
      </c>
      <c r="F45" s="13">
        <f>F44/F26</f>
        <v>9.6362073904325413E-2</v>
      </c>
      <c r="G45" s="13">
        <f t="shared" ref="G45:J45" si="14">G44/G26</f>
        <v>1.0509144524265145E-2</v>
      </c>
      <c r="H45" s="13">
        <f t="shared" si="14"/>
        <v>4.4258469461656074E-3</v>
      </c>
      <c r="I45" s="13">
        <f t="shared" si="14"/>
        <v>5.3981536222656785E-2</v>
      </c>
      <c r="J45" s="14">
        <f t="shared" si="14"/>
        <v>4.6830843762616065E-2</v>
      </c>
      <c r="K45" s="15">
        <f>K44/K26</f>
        <v>6.842613057074236E-3</v>
      </c>
      <c r="L45" s="15">
        <v>0.01</v>
      </c>
      <c r="M45" s="15">
        <v>0.01</v>
      </c>
      <c r="N45" s="15">
        <v>0.01</v>
      </c>
      <c r="O45" s="15">
        <v>0.01</v>
      </c>
    </row>
    <row r="47" spans="1:17" s="2" customFormat="1" x14ac:dyDescent="0.2">
      <c r="A47" s="2" t="s">
        <v>1</v>
      </c>
      <c r="B47" s="2" t="s">
        <v>24</v>
      </c>
      <c r="D47" s="7"/>
      <c r="J47" s="7"/>
    </row>
    <row r="49" spans="2:15" x14ac:dyDescent="0.2">
      <c r="B49" t="s">
        <v>5</v>
      </c>
      <c r="F49" s="11">
        <v>17455</v>
      </c>
      <c r="G49" s="11">
        <v>31877</v>
      </c>
      <c r="H49" s="11">
        <v>37281</v>
      </c>
      <c r="I49" s="11">
        <v>43978</v>
      </c>
      <c r="J49" s="12">
        <v>52017</v>
      </c>
      <c r="K49" s="11">
        <f>J49*(1+K50)</f>
        <v>63720.825000000004</v>
      </c>
      <c r="L49" s="11">
        <f t="shared" ref="L49:O49" si="15">K49*(1+L50)</f>
        <v>78488.126193749995</v>
      </c>
      <c r="M49" s="11">
        <f t="shared" si="15"/>
        <v>97207.544290959369</v>
      </c>
      <c r="N49" s="11">
        <f t="shared" si="15"/>
        <v>121047.69452831715</v>
      </c>
      <c r="O49" s="11">
        <f t="shared" si="15"/>
        <v>151551.71354945307</v>
      </c>
    </row>
    <row r="50" spans="2:15" x14ac:dyDescent="0.2">
      <c r="B50" s="3" t="s">
        <v>6</v>
      </c>
      <c r="F50" s="13"/>
      <c r="G50" s="13">
        <f>G49/F49-1</f>
        <v>0.8262389000286452</v>
      </c>
      <c r="H50" s="13">
        <f t="shared" ref="H50" si="16">H49/G49-1</f>
        <v>0.16952661793769797</v>
      </c>
      <c r="I50" s="13">
        <f t="shared" ref="I50" si="17">I49/H49-1</f>
        <v>0.17963573938467325</v>
      </c>
      <c r="J50" s="14">
        <f t="shared" ref="J50" si="18">J49/I49-1</f>
        <v>0.18279594342625849</v>
      </c>
      <c r="K50" s="25">
        <f>CHOOSE(sceanrio,K51,K52,K53)</f>
        <v>0.22499999999999998</v>
      </c>
      <c r="L50" s="25">
        <f>CHOOSE(sceanrio,L51,L52,L53)</f>
        <v>0.23174999999999998</v>
      </c>
      <c r="M50" s="25">
        <f>CHOOSE(sceanrio,M51,M52,M53)</f>
        <v>0.23849999999999999</v>
      </c>
      <c r="N50" s="25">
        <f>CHOOSE(sceanrio,N51,N52,N53)</f>
        <v>0.24525</v>
      </c>
      <c r="O50" s="25">
        <f>CHOOSE(sceanrio,O51,O52,O53)</f>
        <v>0.252</v>
      </c>
    </row>
    <row r="51" spans="2:15" x14ac:dyDescent="0.2">
      <c r="B51" t="s">
        <v>33</v>
      </c>
      <c r="K51" s="22">
        <f>K52*N16</f>
        <v>0.14399999999999999</v>
      </c>
      <c r="L51" s="22">
        <f>$K$51+($O$51-$K$51)/($O$1-$K$1)</f>
        <v>0.1305</v>
      </c>
      <c r="M51" s="22">
        <f>$L$51+($O$51-$K$51)/($O$1-$K$1)</f>
        <v>0.11700000000000001</v>
      </c>
      <c r="N51" s="22">
        <f>$M$51+($O$51-$K$51)/($O$1-$K$1)</f>
        <v>0.10350000000000001</v>
      </c>
      <c r="O51" s="22">
        <f>O52*N17</f>
        <v>9.0000000000000011E-2</v>
      </c>
    </row>
    <row r="52" spans="2:15" x14ac:dyDescent="0.2">
      <c r="B52" t="s">
        <v>34</v>
      </c>
      <c r="K52" s="23">
        <f>K27</f>
        <v>0.18</v>
      </c>
      <c r="L52" s="23">
        <f>L27</f>
        <v>0.16</v>
      </c>
      <c r="M52" s="23">
        <f>M27</f>
        <v>0.14000000000000001</v>
      </c>
      <c r="N52" s="23">
        <f>N27</f>
        <v>0.12000000000000002</v>
      </c>
      <c r="O52" s="23">
        <f>O27</f>
        <v>0.1</v>
      </c>
    </row>
    <row r="53" spans="2:15" x14ac:dyDescent="0.2">
      <c r="B53" t="s">
        <v>35</v>
      </c>
      <c r="K53" s="24">
        <f>K52*V16</f>
        <v>0.22499999999999998</v>
      </c>
      <c r="L53" s="24">
        <f>$K$53+($O$53-$K$53)/($O$1-$K$1)</f>
        <v>0.23174999999999998</v>
      </c>
      <c r="M53" s="24">
        <f>$L$53+($O$53-$K$53)/($O$1-$K$1)</f>
        <v>0.23849999999999999</v>
      </c>
      <c r="N53" s="24">
        <f>$M$53+($O$53-$K$53)/($O$1-$K$1)</f>
        <v>0.24525</v>
      </c>
      <c r="O53" s="24">
        <f>K52*V17</f>
        <v>0.252</v>
      </c>
    </row>
    <row r="55" spans="2:15" x14ac:dyDescent="0.2">
      <c r="B55" t="s">
        <v>8</v>
      </c>
      <c r="F55" s="11">
        <v>-3834</v>
      </c>
      <c r="G55" s="11">
        <v>-1832</v>
      </c>
      <c r="H55" s="11">
        <v>1110</v>
      </c>
      <c r="I55" s="11">
        <v>2799</v>
      </c>
      <c r="J55" s="12">
        <v>5655</v>
      </c>
      <c r="K55" s="11">
        <f>K49*K56</f>
        <v>10439.751059322036</v>
      </c>
      <c r="L55" s="11">
        <f t="shared" ref="L55:O55" si="19">L49*L56</f>
        <v>13764.999150661812</v>
      </c>
      <c r="M55" s="11">
        <f t="shared" si="19"/>
        <v>18169.829065763592</v>
      </c>
      <c r="N55" s="11">
        <f t="shared" si="19"/>
        <v>24022.997747544352</v>
      </c>
      <c r="O55" s="11">
        <f t="shared" si="19"/>
        <v>31825.859845385145</v>
      </c>
    </row>
    <row r="56" spans="2:15" x14ac:dyDescent="0.2">
      <c r="B56" s="3" t="s">
        <v>7</v>
      </c>
      <c r="F56" s="13">
        <f>F55/F49</f>
        <v>-0.2196505299341163</v>
      </c>
      <c r="G56" s="13">
        <f t="shared" ref="G56:J56" si="20">G55/G49</f>
        <v>-5.7470903786429085E-2</v>
      </c>
      <c r="H56" s="13">
        <f t="shared" si="20"/>
        <v>2.9773879456023174E-2</v>
      </c>
      <c r="I56" s="13">
        <f t="shared" si="20"/>
        <v>6.3645459093182949E-2</v>
      </c>
      <c r="J56" s="14">
        <f t="shared" si="20"/>
        <v>0.10871445873464444</v>
      </c>
      <c r="K56" s="25">
        <f>CHOOSE(sceanrio,K57,K58,K59)</f>
        <v>0.16383577989333997</v>
      </c>
      <c r="L56" s="25">
        <f>CHOOSE(sceanrio,L57,L58,L59)</f>
        <v>0.17537683492000497</v>
      </c>
      <c r="M56" s="25">
        <f>CHOOSE(sceanrio,M57,M58,M59)</f>
        <v>0.18691788994666997</v>
      </c>
      <c r="N56" s="25">
        <f>CHOOSE(sceanrio,N57,N58,N59)</f>
        <v>0.19845894497333497</v>
      </c>
      <c r="O56" s="25">
        <f>CHOOSE(sceanrio,O57,O58,O59)</f>
        <v>0.21</v>
      </c>
    </row>
    <row r="57" spans="2:15" x14ac:dyDescent="0.2">
      <c r="B57" t="s">
        <v>33</v>
      </c>
      <c r="F57" s="13"/>
      <c r="G57" s="13"/>
      <c r="H57" s="13"/>
      <c r="I57" s="13"/>
      <c r="J57" s="14"/>
      <c r="K57" s="27">
        <f>K58*N18</f>
        <v>0.10485489913173758</v>
      </c>
      <c r="L57" s="22">
        <f>$K$57+($O$57-$K$57)/($O$1-$K$1)</f>
        <v>0.11239117434880319</v>
      </c>
      <c r="M57" s="22">
        <f>$L$57+($O$57-$K$57)/($O$1-$K$1)</f>
        <v>0.1199274495658688</v>
      </c>
      <c r="N57" s="22">
        <f>$M$57+($O$57-$K$57)/($O$1-$K$1)</f>
        <v>0.12746372478293441</v>
      </c>
      <c r="O57" s="22">
        <f>O58*N19</f>
        <v>0.13500000000000001</v>
      </c>
    </row>
    <row r="58" spans="2:15" x14ac:dyDescent="0.2">
      <c r="B58" t="s">
        <v>34</v>
      </c>
      <c r="F58" s="13"/>
      <c r="G58" s="13"/>
      <c r="H58" s="13"/>
      <c r="I58" s="13"/>
      <c r="J58" s="14"/>
      <c r="K58" s="28">
        <f>K30</f>
        <v>0.13106862391467197</v>
      </c>
      <c r="L58" s="28">
        <f t="shared" ref="L58:O58" si="21">L30</f>
        <v>0.14000000000000001</v>
      </c>
      <c r="M58" s="28">
        <f t="shared" si="21"/>
        <v>0.15</v>
      </c>
      <c r="N58" s="28">
        <f t="shared" si="21"/>
        <v>0.15</v>
      </c>
      <c r="O58" s="28">
        <f t="shared" si="21"/>
        <v>0.15</v>
      </c>
    </row>
    <row r="59" spans="2:15" x14ac:dyDescent="0.2">
      <c r="B59" t="s">
        <v>35</v>
      </c>
      <c r="F59" s="13"/>
      <c r="G59" s="13"/>
      <c r="H59" s="13"/>
      <c r="I59" s="13"/>
      <c r="J59" s="14"/>
      <c r="K59" s="24">
        <f>K58*V18</f>
        <v>0.16383577989333997</v>
      </c>
      <c r="L59" s="24">
        <f>$K$59+($O$59-$K$59)/($O$1-$K$1)</f>
        <v>0.17537683492000497</v>
      </c>
      <c r="M59" s="24">
        <f>$L$59+($O$59-$K$59)/($O$1-$K$1)</f>
        <v>0.18691788994666997</v>
      </c>
      <c r="N59" s="24">
        <f>$M$59+($O$59-$K$59)/($O$1-$K$1)</f>
        <v>0.19845894497333497</v>
      </c>
      <c r="O59" s="24">
        <f>O58*V19</f>
        <v>0.21</v>
      </c>
    </row>
    <row r="61" spans="2:15" x14ac:dyDescent="0.2">
      <c r="B61" t="s">
        <v>9</v>
      </c>
      <c r="F61" s="11">
        <v>-492</v>
      </c>
      <c r="G61" s="11">
        <v>-181</v>
      </c>
      <c r="H61" s="11">
        <v>213</v>
      </c>
      <c r="I61" s="11">
        <v>-5758</v>
      </c>
      <c r="J61" s="12">
        <v>-4346</v>
      </c>
      <c r="K61" s="11">
        <f>K55*K62</f>
        <v>1565.9626588983053</v>
      </c>
      <c r="L61" s="11">
        <f t="shared" ref="L61" si="22">L55*L62</f>
        <v>2064.7498725992718</v>
      </c>
      <c r="M61" s="11">
        <f t="shared" ref="M61" si="23">M55*M62</f>
        <v>2725.4743598645387</v>
      </c>
      <c r="N61" s="11">
        <f t="shared" ref="N61" si="24">N55*N62</f>
        <v>3603.4496621316525</v>
      </c>
      <c r="O61" s="11">
        <f t="shared" ref="O61" si="25">O55*O62</f>
        <v>4773.8789768077713</v>
      </c>
    </row>
    <row r="62" spans="2:15" x14ac:dyDescent="0.2">
      <c r="B62" t="s">
        <v>10</v>
      </c>
      <c r="F62" s="13">
        <f>F61/F55</f>
        <v>0.12832550860719874</v>
      </c>
      <c r="G62" s="13">
        <f t="shared" ref="G62" si="26">G61/G55</f>
        <v>9.879912663755458E-2</v>
      </c>
      <c r="H62" s="13">
        <f t="shared" ref="H62" si="27">H61/H55</f>
        <v>0.1918918918918919</v>
      </c>
      <c r="I62" s="13">
        <f t="shared" ref="I62" si="28">I61/I55</f>
        <v>-2.0571632725973563</v>
      </c>
      <c r="J62" s="14">
        <f t="shared" ref="J62" si="29">J61/J55</f>
        <v>-0.76852343059239614</v>
      </c>
      <c r="K62" s="15">
        <v>0.15</v>
      </c>
      <c r="L62" s="15">
        <v>0.15</v>
      </c>
      <c r="M62" s="15">
        <v>0.15</v>
      </c>
      <c r="N62" s="15">
        <v>0.15</v>
      </c>
      <c r="O62" s="15">
        <v>0.15</v>
      </c>
    </row>
    <row r="64" spans="2:15" x14ac:dyDescent="0.2">
      <c r="B64" s="34" t="s">
        <v>25</v>
      </c>
      <c r="C64" s="35"/>
      <c r="D64" s="36"/>
      <c r="E64" s="35"/>
      <c r="F64" s="35"/>
      <c r="G64" s="35"/>
      <c r="H64" s="35"/>
      <c r="I64" s="35"/>
      <c r="J64" s="38"/>
      <c r="K64" s="37">
        <f>K55-K61</f>
        <v>8873.7884004237312</v>
      </c>
      <c r="L64" s="37">
        <f t="shared" ref="L64:O64" si="30">L55-L61</f>
        <v>11700.24927806254</v>
      </c>
      <c r="M64" s="37">
        <f t="shared" si="30"/>
        <v>15444.354705899053</v>
      </c>
      <c r="N64" s="37">
        <f t="shared" si="30"/>
        <v>20419.548085412698</v>
      </c>
      <c r="O64" s="38">
        <f t="shared" si="30"/>
        <v>27051.980868577375</v>
      </c>
    </row>
    <row r="65" spans="2:15" x14ac:dyDescent="0.2">
      <c r="B65" s="29" t="s">
        <v>20</v>
      </c>
      <c r="C65" s="30"/>
      <c r="D65" s="31"/>
      <c r="E65" s="30"/>
      <c r="F65" s="30"/>
      <c r="G65" s="30"/>
      <c r="H65" s="30"/>
      <c r="I65" s="30"/>
      <c r="J65" s="31"/>
      <c r="K65" s="32">
        <f>K64/K49</f>
        <v>0.13926041290933899</v>
      </c>
      <c r="L65" s="32">
        <f t="shared" ref="L65:O65" si="31">L64/L49</f>
        <v>0.14907030968200424</v>
      </c>
      <c r="M65" s="32">
        <f t="shared" si="31"/>
        <v>0.15888020645466949</v>
      </c>
      <c r="N65" s="32">
        <f t="shared" si="31"/>
        <v>0.16869010322733469</v>
      </c>
      <c r="O65" s="33">
        <f t="shared" si="31"/>
        <v>0.17850000000000002</v>
      </c>
    </row>
    <row r="67" spans="2:15" x14ac:dyDescent="0.2">
      <c r="B67" t="s">
        <v>38</v>
      </c>
      <c r="F67" s="11">
        <v>902</v>
      </c>
      <c r="G67" s="11">
        <v>947</v>
      </c>
      <c r="H67" s="11">
        <v>823</v>
      </c>
      <c r="I67" s="11">
        <v>711</v>
      </c>
      <c r="J67" s="12">
        <v>719</v>
      </c>
      <c r="K67" s="11">
        <f>K49*K68</f>
        <v>955.48034841284277</v>
      </c>
      <c r="L67" s="11">
        <f t="shared" ref="L67:O67" si="32">L49*L68</f>
        <v>1130.9037627037594</v>
      </c>
      <c r="M67" s="11">
        <f t="shared" si="32"/>
        <v>1429.1154802425967</v>
      </c>
      <c r="N67" s="11">
        <f t="shared" si="32"/>
        <v>1761.8667369674174</v>
      </c>
      <c r="O67" s="11">
        <f t="shared" si="32"/>
        <v>2216.9619657509338</v>
      </c>
    </row>
    <row r="68" spans="2:15" x14ac:dyDescent="0.2">
      <c r="B68" s="3" t="s">
        <v>20</v>
      </c>
      <c r="F68" s="13">
        <f>F67/F49</f>
        <v>5.1675737610999715E-2</v>
      </c>
      <c r="G68" s="13">
        <f t="shared" ref="G68:J68" si="33">G67/G49</f>
        <v>2.9707939893967437E-2</v>
      </c>
      <c r="H68" s="13">
        <f t="shared" si="33"/>
        <v>2.2075588101177542E-2</v>
      </c>
      <c r="I68" s="13">
        <f t="shared" si="33"/>
        <v>1.6167174496339077E-2</v>
      </c>
      <c r="J68" s="14">
        <f t="shared" si="33"/>
        <v>1.382240421400696E-2</v>
      </c>
      <c r="K68" s="13">
        <f>AVERAGE(I68:J68)</f>
        <v>1.4994789355173017E-2</v>
      </c>
      <c r="L68" s="13">
        <f t="shared" ref="L68:O68" si="34">AVERAGE(J68:K68)</f>
        <v>1.4408596784589989E-2</v>
      </c>
      <c r="M68" s="13">
        <f t="shared" si="34"/>
        <v>1.4701693069881503E-2</v>
      </c>
      <c r="N68" s="13">
        <f t="shared" si="34"/>
        <v>1.4555144927235746E-2</v>
      </c>
      <c r="O68" s="13">
        <f t="shared" si="34"/>
        <v>1.4628418998558625E-2</v>
      </c>
    </row>
    <row r="69" spans="2:15" x14ac:dyDescent="0.2">
      <c r="B69" s="3" t="s">
        <v>21</v>
      </c>
      <c r="F69" s="13">
        <f>F67/F71</f>
        <v>3.0268456375838926</v>
      </c>
      <c r="G69" s="13">
        <f t="shared" ref="G69:O69" si="35">G67/G71</f>
        <v>3.7579365079365079</v>
      </c>
      <c r="H69" s="13">
        <f t="shared" si="35"/>
        <v>3.6905829596412558</v>
      </c>
      <c r="I69" s="13">
        <f t="shared" si="35"/>
        <v>2.9380165289256199</v>
      </c>
      <c r="J69" s="14">
        <f t="shared" si="35"/>
        <v>2.1398809523809526</v>
      </c>
      <c r="K69" s="13">
        <f t="shared" si="35"/>
        <v>1.7467635037741547</v>
      </c>
      <c r="L69" s="13">
        <f t="shared" si="35"/>
        <v>2.0922358522381579</v>
      </c>
      <c r="M69" s="13">
        <f t="shared" si="35"/>
        <v>2.1998772884940836</v>
      </c>
      <c r="N69" s="13">
        <f t="shared" si="35"/>
        <v>2.1331743160772576</v>
      </c>
      <c r="O69" s="13">
        <f t="shared" si="35"/>
        <v>2.0640242414699368</v>
      </c>
    </row>
    <row r="71" spans="2:15" x14ac:dyDescent="0.2">
      <c r="B71" t="s">
        <v>39</v>
      </c>
      <c r="F71">
        <v>298</v>
      </c>
      <c r="G71">
        <v>252</v>
      </c>
      <c r="H71">
        <v>223</v>
      </c>
      <c r="I71">
        <v>242</v>
      </c>
      <c r="J71" s="6">
        <v>336</v>
      </c>
      <c r="K71" s="11">
        <f>K72*K49</f>
        <v>547.00040752418897</v>
      </c>
      <c r="L71" s="11">
        <f t="shared" ref="L71:O71" si="36">L72*L49</f>
        <v>540.52403389129449</v>
      </c>
      <c r="M71" s="11">
        <f t="shared" si="36"/>
        <v>649.63418083237343</v>
      </c>
      <c r="N71" s="11">
        <f t="shared" si="36"/>
        <v>825.93659772134981</v>
      </c>
      <c r="O71" s="11">
        <f t="shared" si="36"/>
        <v>1074.0968643721351</v>
      </c>
    </row>
    <row r="72" spans="2:15" x14ac:dyDescent="0.2">
      <c r="B72" s="3" t="s">
        <v>20</v>
      </c>
      <c r="F72" s="13">
        <f>F71/F49</f>
        <v>1.7072472071039818E-2</v>
      </c>
      <c r="G72" s="13">
        <f t="shared" ref="G72:J72" si="37">G71/G49</f>
        <v>7.9053863287009436E-3</v>
      </c>
      <c r="H72" s="13">
        <f t="shared" si="37"/>
        <v>5.9815992060298813E-3</v>
      </c>
      <c r="I72" s="13">
        <f t="shared" si="37"/>
        <v>5.5027513756878439E-3</v>
      </c>
      <c r="J72" s="14">
        <f t="shared" si="37"/>
        <v>6.459426725878078E-3</v>
      </c>
      <c r="K72" s="13">
        <f>AVERAGE(F72:J72)</f>
        <v>8.5843271414673128E-3</v>
      </c>
      <c r="L72" s="13">
        <f t="shared" ref="L72:O72" si="38">AVERAGE(G72:K72)</f>
        <v>6.8866981555528121E-3</v>
      </c>
      <c r="M72" s="13">
        <f t="shared" si="38"/>
        <v>6.6829605209231856E-3</v>
      </c>
      <c r="N72" s="13">
        <f t="shared" si="38"/>
        <v>6.8232327839018473E-3</v>
      </c>
      <c r="O72" s="13">
        <f t="shared" si="38"/>
        <v>7.0873290655446468E-3</v>
      </c>
    </row>
    <row r="74" spans="2:15" x14ac:dyDescent="0.2">
      <c r="B74" t="s">
        <v>40</v>
      </c>
      <c r="F74" s="11">
        <f>SUM(-597,-236,860,165,90,516,1068,-184)</f>
        <v>1682</v>
      </c>
      <c r="G74" s="11">
        <f>SUM(-542,-196,193,-133,736,492,-215)</f>
        <v>335</v>
      </c>
      <c r="H74" s="11">
        <f>SUM(-758,-1462,191,64,2230,80,-180)</f>
        <v>165</v>
      </c>
      <c r="I74" s="11">
        <f>SUM(-142,-694,196,86,2819,330,-221)</f>
        <v>2374</v>
      </c>
      <c r="J74" s="12">
        <f>SUM(-466,-1028,177,126,2660,967,-209)</f>
        <v>2227</v>
      </c>
      <c r="K74" s="11">
        <f>K44</f>
        <v>420</v>
      </c>
      <c r="L74" s="11">
        <f t="shared" ref="L74:O74" si="39">L44</f>
        <v>712.0086960000001</v>
      </c>
      <c r="M74" s="11">
        <f t="shared" si="39"/>
        <v>811.68991344000005</v>
      </c>
      <c r="N74" s="11">
        <f t="shared" si="39"/>
        <v>909.09270305280006</v>
      </c>
      <c r="O74" s="11">
        <f t="shared" si="39"/>
        <v>1000.0019733580801</v>
      </c>
    </row>
    <row r="75" spans="2:15" x14ac:dyDescent="0.2">
      <c r="B75" s="3" t="s">
        <v>20</v>
      </c>
      <c r="F75" s="13">
        <f>F74/F49</f>
        <v>9.6362073904325413E-2</v>
      </c>
      <c r="G75" s="13">
        <f t="shared" ref="G75:J75" si="40">G74/G49</f>
        <v>1.0509144524265145E-2</v>
      </c>
      <c r="H75" s="13">
        <f t="shared" si="40"/>
        <v>4.4258469461656074E-3</v>
      </c>
      <c r="I75" s="13">
        <f t="shared" si="40"/>
        <v>5.3981536222656785E-2</v>
      </c>
      <c r="J75" s="14">
        <f t="shared" si="40"/>
        <v>4.2812926543245478E-2</v>
      </c>
      <c r="K75" s="13">
        <f>K45</f>
        <v>6.842613057074236E-3</v>
      </c>
      <c r="L75" s="13">
        <f t="shared" ref="L75:O75" si="41">L45</f>
        <v>0.01</v>
      </c>
      <c r="M75" s="13">
        <f t="shared" si="41"/>
        <v>0.01</v>
      </c>
      <c r="N75" s="13">
        <f t="shared" si="41"/>
        <v>0.01</v>
      </c>
      <c r="O75" s="13">
        <f t="shared" si="41"/>
        <v>0.01</v>
      </c>
    </row>
    <row r="77" spans="2:15" x14ac:dyDescent="0.2">
      <c r="B77" s="52" t="s">
        <v>41</v>
      </c>
      <c r="C77" s="40"/>
      <c r="D77" s="40"/>
      <c r="E77" s="40"/>
      <c r="F77" s="40"/>
      <c r="G77" s="40"/>
      <c r="H77" s="40"/>
      <c r="I77" s="40"/>
      <c r="J77" s="41"/>
      <c r="K77" s="41">
        <f>SUM(K64+K67-K71+K74)</f>
        <v>9702.268341312385</v>
      </c>
      <c r="L77" s="41">
        <f t="shared" ref="L77:O77" si="42">SUM(L64+L67-L71+L74)</f>
        <v>13002.637702875007</v>
      </c>
      <c r="M77" s="41">
        <f t="shared" si="42"/>
        <v>17035.525918749277</v>
      </c>
      <c r="N77" s="41">
        <f t="shared" si="42"/>
        <v>22264.570927711567</v>
      </c>
      <c r="O77" s="41">
        <f t="shared" si="42"/>
        <v>29194.847943314253</v>
      </c>
    </row>
    <row r="79" spans="2:15" x14ac:dyDescent="0.2">
      <c r="B79" t="s">
        <v>66</v>
      </c>
      <c r="K79" s="55">
        <f ca="1">YEARFRAC(C7,C8)</f>
        <v>0.35555555555555557</v>
      </c>
    </row>
    <row r="80" spans="2:15" x14ac:dyDescent="0.2">
      <c r="B80" t="s">
        <v>42</v>
      </c>
      <c r="K80" s="55">
        <f ca="1">K79/2</f>
        <v>0.17777777777777778</v>
      </c>
      <c r="L80" s="55">
        <f ca="1">K80+0.5</f>
        <v>0.67777777777777781</v>
      </c>
      <c r="M80" s="55">
        <f ca="1">L80+1</f>
        <v>1.6777777777777778</v>
      </c>
      <c r="N80" s="55">
        <f t="shared" ref="N80:O80" ca="1" si="43">M80+1</f>
        <v>2.677777777777778</v>
      </c>
      <c r="O80" s="55">
        <f t="shared" ca="1" si="43"/>
        <v>3.677777777777778</v>
      </c>
    </row>
    <row r="82" spans="2:15" x14ac:dyDescent="0.2">
      <c r="B82" s="1" t="s">
        <v>57</v>
      </c>
      <c r="C82" s="1"/>
      <c r="D82" s="48"/>
      <c r="E82" s="1"/>
      <c r="F82" s="1"/>
      <c r="G82" s="1"/>
      <c r="H82" s="1"/>
      <c r="I82" s="1"/>
      <c r="J82" s="48"/>
      <c r="K82" s="49">
        <f ca="1">(K77*K79)/(1+$C$19)^K80</f>
        <v>3372.0841859912625</v>
      </c>
      <c r="L82" s="49">
        <f ca="1">L77/(1+$C$19)^L80</f>
        <v>11922.162348986081</v>
      </c>
      <c r="M82" s="49">
        <f ca="1">M77/(1+$C$19)^M80</f>
        <v>13743.297236612818</v>
      </c>
      <c r="N82" s="49">
        <f ca="1">N77/(1+$C$19)^N80</f>
        <v>15803.800836950135</v>
      </c>
      <c r="O82" s="49">
        <f ca="1">O77/(1+$C$19)^O80</f>
        <v>18233.299246278468</v>
      </c>
    </row>
    <row r="84" spans="2:15" x14ac:dyDescent="0.2">
      <c r="B84" t="s">
        <v>58</v>
      </c>
      <c r="O84" s="11">
        <f>O77*(1+$C$20)/(C19-C20)</f>
        <v>282223.99788727518</v>
      </c>
    </row>
    <row r="85" spans="2:15" x14ac:dyDescent="0.2">
      <c r="B85" t="s">
        <v>59</v>
      </c>
      <c r="O85" s="11">
        <f ca="1">O84/(1+C19)^O80</f>
        <v>176259.68177505711</v>
      </c>
    </row>
    <row r="87" spans="2:15" x14ac:dyDescent="0.2">
      <c r="B87" t="s">
        <v>60</v>
      </c>
      <c r="O87" s="11">
        <f ca="1">O85+SUM(K82:O82)</f>
        <v>239334.32562987588</v>
      </c>
    </row>
    <row r="88" spans="2:15" x14ac:dyDescent="0.2">
      <c r="B88" t="s">
        <v>61</v>
      </c>
      <c r="O88" s="11">
        <f>7105+528+631</f>
        <v>8264</v>
      </c>
    </row>
    <row r="89" spans="2:15" s="30" customFormat="1" x14ac:dyDescent="0.2">
      <c r="B89" s="30" t="s">
        <v>62</v>
      </c>
      <c r="D89" s="31"/>
      <c r="J89" s="31"/>
      <c r="O89" s="50">
        <f>D</f>
        <v>10600</v>
      </c>
    </row>
    <row r="90" spans="2:15" x14ac:dyDescent="0.2">
      <c r="B90" t="s">
        <v>63</v>
      </c>
      <c r="O90" s="11">
        <f ca="1">O87+O88-(O89)</f>
        <v>236998.32562987588</v>
      </c>
    </row>
    <row r="91" spans="2:15" s="30" customFormat="1" x14ac:dyDescent="0.2">
      <c r="B91" s="30" t="s">
        <v>64</v>
      </c>
      <c r="D91" s="31"/>
      <c r="J91" s="31"/>
      <c r="O91" s="50">
        <v>2050</v>
      </c>
    </row>
    <row r="93" spans="2:15" s="51" customFormat="1" ht="17" thickBot="1" x14ac:dyDescent="0.25">
      <c r="B93" s="51" t="s">
        <v>65</v>
      </c>
      <c r="O93" s="70">
        <f ca="1">O90/O91</f>
        <v>115.60893933164677</v>
      </c>
    </row>
    <row r="94" spans="2:15" ht="17" thickTop="1" x14ac:dyDescent="0.2"/>
  </sheetData>
  <dataValidations count="1">
    <dataValidation type="list" allowBlank="1" showInputMessage="1" showErrorMessage="1" sqref="C17" xr:uid="{5A16F95B-681D-1C41-AD13-0099395F49D8}">
      <formula1>"1,2,3"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54F8F-CFC8-0B42-A8BB-6C1D47BF4446}">
  <dimension ref="B2:J32"/>
  <sheetViews>
    <sheetView showGridLines="0" zoomScale="250" zoomScaleNormal="250" workbookViewId="0">
      <selection activeCell="E11" sqref="E11"/>
    </sheetView>
  </sheetViews>
  <sheetFormatPr baseColWidth="10" defaultRowHeight="16" x14ac:dyDescent="0.2"/>
  <cols>
    <col min="1" max="1" width="2.83203125" customWidth="1"/>
    <col min="5" max="5" width="10.83203125" customWidth="1"/>
  </cols>
  <sheetData>
    <row r="2" spans="2:6" s="30" customFormat="1" ht="27" x14ac:dyDescent="0.35">
      <c r="B2" s="44" t="s">
        <v>48</v>
      </c>
    </row>
    <row r="4" spans="2:6" x14ac:dyDescent="0.2">
      <c r="F4" t="s">
        <v>49</v>
      </c>
    </row>
    <row r="6" spans="2:6" x14ac:dyDescent="0.2">
      <c r="B6" t="s">
        <v>44</v>
      </c>
      <c r="E6" s="39">
        <f>Rf+beta*MRP</f>
        <v>0.13766616619708985</v>
      </c>
    </row>
    <row r="7" spans="2:6" x14ac:dyDescent="0.2">
      <c r="B7" t="s">
        <v>45</v>
      </c>
      <c r="E7" s="68">
        <f>D32</f>
        <v>2.0328736815490998</v>
      </c>
    </row>
    <row r="8" spans="2:6" x14ac:dyDescent="0.2">
      <c r="B8" t="s">
        <v>46</v>
      </c>
      <c r="E8" s="21">
        <v>4.7E-2</v>
      </c>
    </row>
    <row r="9" spans="2:6" x14ac:dyDescent="0.2">
      <c r="B9" t="s">
        <v>47</v>
      </c>
      <c r="E9" s="21">
        <v>4.4600000000000001E-2</v>
      </c>
    </row>
    <row r="11" spans="2:6" x14ac:dyDescent="0.2">
      <c r="B11" t="s">
        <v>50</v>
      </c>
      <c r="E11" s="26">
        <v>160410</v>
      </c>
    </row>
    <row r="12" spans="2:6" x14ac:dyDescent="0.2">
      <c r="B12" t="s">
        <v>43</v>
      </c>
      <c r="E12" s="26">
        <v>10600</v>
      </c>
    </row>
    <row r="13" spans="2:6" x14ac:dyDescent="0.2">
      <c r="B13" t="s">
        <v>51</v>
      </c>
      <c r="E13" s="13">
        <f>E/(E+D)</f>
        <v>0.93801532074147709</v>
      </c>
    </row>
    <row r="14" spans="2:6" x14ac:dyDescent="0.2">
      <c r="B14" t="s">
        <v>52</v>
      </c>
      <c r="E14" s="39">
        <f>D/(D+E)</f>
        <v>6.1984679258522891E-2</v>
      </c>
    </row>
    <row r="16" spans="2:6" x14ac:dyDescent="0.2">
      <c r="B16" t="s">
        <v>53</v>
      </c>
      <c r="E16" s="39">
        <f>(523/D)</f>
        <v>4.9339622641509435E-2</v>
      </c>
    </row>
    <row r="17" spans="2:10" x14ac:dyDescent="0.2">
      <c r="B17" t="s">
        <v>54</v>
      </c>
      <c r="E17" s="20">
        <f>1-DCF!K33</f>
        <v>0.79</v>
      </c>
    </row>
    <row r="19" spans="2:10" x14ac:dyDescent="0.2">
      <c r="B19" s="45" t="s">
        <v>55</v>
      </c>
      <c r="C19" s="45"/>
      <c r="D19" s="45"/>
      <c r="E19" s="46">
        <f>(E6*E13)+(E16*E17*E14)</f>
        <v>0.13154903058110742</v>
      </c>
    </row>
    <row r="20" spans="2:10" x14ac:dyDescent="0.2">
      <c r="J20" s="56" t="s">
        <v>67</v>
      </c>
    </row>
    <row r="22" spans="2:10" x14ac:dyDescent="0.2">
      <c r="B22" s="57" t="s">
        <v>68</v>
      </c>
      <c r="C22" s="58"/>
      <c r="D22" s="58"/>
      <c r="E22" s="58"/>
      <c r="F22" s="58"/>
      <c r="G22" s="58"/>
      <c r="H22" s="59"/>
    </row>
    <row r="23" spans="2:10" ht="2" customHeight="1" x14ac:dyDescent="0.2">
      <c r="B23" s="60"/>
      <c r="H23" s="6"/>
    </row>
    <row r="24" spans="2:10" x14ac:dyDescent="0.2">
      <c r="B24" s="61" t="s">
        <v>69</v>
      </c>
      <c r="C24" s="62"/>
      <c r="D24" s="62" t="s">
        <v>70</v>
      </c>
      <c r="E24" s="62" t="s">
        <v>71</v>
      </c>
      <c r="F24" s="62" t="s">
        <v>72</v>
      </c>
      <c r="G24" s="62" t="s">
        <v>73</v>
      </c>
      <c r="H24" s="63" t="s">
        <v>74</v>
      </c>
    </row>
    <row r="25" spans="2:10" x14ac:dyDescent="0.2">
      <c r="B25" s="60" t="s">
        <v>77</v>
      </c>
      <c r="D25" s="55">
        <v>1.83</v>
      </c>
      <c r="E25" s="11">
        <v>6630</v>
      </c>
      <c r="F25" s="11">
        <f>1002-1132-705</f>
        <v>-835</v>
      </c>
      <c r="G25" s="15">
        <v>0.15</v>
      </c>
      <c r="H25" s="64">
        <f>D25/(1+(1-G25)*(F25/E25))</f>
        <v>2.0493898061737257</v>
      </c>
    </row>
    <row r="26" spans="2:10" x14ac:dyDescent="0.2">
      <c r="B26" s="60" t="s">
        <v>78</v>
      </c>
      <c r="D26">
        <v>1.77</v>
      </c>
      <c r="E26">
        <v>96837</v>
      </c>
      <c r="F26" s="11">
        <f>3185+105-5779</f>
        <v>-2489</v>
      </c>
      <c r="G26" s="42">
        <v>4.2900000000000001E-2</v>
      </c>
      <c r="H26" s="64">
        <f>D26/(1+(1-G26)*(F26/E26))</f>
        <v>1.8146407566437341</v>
      </c>
    </row>
    <row r="27" spans="2:10" x14ac:dyDescent="0.2">
      <c r="B27" s="60"/>
      <c r="E27" s="11"/>
      <c r="F27" s="11"/>
      <c r="G27" s="42"/>
      <c r="H27" s="64" t="e">
        <f>D27/(1+(1-G27)*(F27/E27))</f>
        <v>#DIV/0!</v>
      </c>
    </row>
    <row r="28" spans="2:10" x14ac:dyDescent="0.2">
      <c r="B28" s="60"/>
      <c r="E28" s="11"/>
      <c r="F28" s="11"/>
      <c r="G28" s="42"/>
      <c r="H28" s="64" t="e">
        <f>D28/(1+(1-G28)*(F28/E28))</f>
        <v>#DIV/0!</v>
      </c>
    </row>
    <row r="29" spans="2:10" x14ac:dyDescent="0.2">
      <c r="B29" s="65"/>
      <c r="C29" s="30"/>
      <c r="D29" s="30"/>
      <c r="E29" s="50"/>
      <c r="F29" s="50"/>
      <c r="G29" s="66"/>
      <c r="H29" s="67" t="e">
        <f>D29/(1+(1-G29)*(F29/E29))</f>
        <v>#DIV/0!</v>
      </c>
    </row>
    <row r="31" spans="2:10" x14ac:dyDescent="0.2">
      <c r="B31" t="s">
        <v>75</v>
      </c>
      <c r="D31" s="55">
        <f>AVERAGE(H25:H26)</f>
        <v>1.9320152814087299</v>
      </c>
    </row>
    <row r="32" spans="2:10" x14ac:dyDescent="0.2">
      <c r="B32" t="s">
        <v>79</v>
      </c>
      <c r="D32" s="55">
        <f>D31*(1+(1-21%)*(E12/E11))</f>
        <v>2.0328736815490998</v>
      </c>
      <c r="J32" t="s">
        <v>76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DCF</vt:lpstr>
      <vt:lpstr>WACC</vt:lpstr>
      <vt:lpstr>beta</vt:lpstr>
      <vt:lpstr>D</vt:lpstr>
      <vt:lpstr>E</vt:lpstr>
      <vt:lpstr>MRP</vt:lpstr>
      <vt:lpstr>Rf</vt:lpstr>
      <vt:lpstr>sceanrio</vt:lpstr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COPALU, ELLIOT (UG)</dc:creator>
  <cp:lastModifiedBy>COPALU, ELLIOT (UG)</cp:lastModifiedBy>
  <dcterms:created xsi:type="dcterms:W3CDTF">2026-08-10T17:00:09Z</dcterms:created>
  <dcterms:modified xsi:type="dcterms:W3CDTF">2026-08-22T23:35:05Z</dcterms:modified>
</cp:coreProperties>
</file>